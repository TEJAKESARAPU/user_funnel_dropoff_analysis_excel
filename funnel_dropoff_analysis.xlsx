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Funnel_dropoff_analysis\"/>
    </mc:Choice>
  </mc:AlternateContent>
  <xr:revisionPtr revIDLastSave="0" documentId="13_ncr:10000001_{F315D6AF-0981-4632-930A-C4C86EDEF79D}" xr6:coauthVersionLast="47" xr6:coauthVersionMax="47" xr10:uidLastSave="{00000000-0000-0000-0000-000000000000}"/>
  <bookViews>
    <workbookView xWindow="-98" yWindow="-98" windowWidth="28996" windowHeight="15675" xr2:uid="{875F88D1-0C61-460A-B06B-C49504391B62}"/>
  </bookViews>
  <sheets>
    <sheet name="funnel_events_sample" sheetId="1" r:id="rId1"/>
    <sheet name="Pivot Tables" sheetId="2" r:id="rId2"/>
    <sheet name="Dashboard" sheetId="3" r:id="rId3"/>
  </sheets>
  <definedNames>
    <definedName name="_xlchart.v2.0" hidden="1">'Pivot Tables'!$D$4:$D$8</definedName>
    <definedName name="_xlchart.v2.1" hidden="1">'Pivot Tables'!$E$3</definedName>
    <definedName name="_xlchart.v2.10" hidden="1">'Pivot Tables'!$F$3</definedName>
    <definedName name="_xlchart.v2.11" hidden="1">'Pivot Tables'!$F$4:$F$8</definedName>
    <definedName name="_xlchart.v2.12" hidden="1">'Pivot Tables'!$G$3</definedName>
    <definedName name="_xlchart.v2.13" hidden="1">'Pivot Tables'!$G$4:$G$8</definedName>
    <definedName name="_xlchart.v2.2" hidden="1">'Pivot Tables'!$E$4:$E$8</definedName>
    <definedName name="_xlchart.v2.3" hidden="1">'Pivot Tables'!$F$3</definedName>
    <definedName name="_xlchart.v2.4" hidden="1">'Pivot Tables'!$F$4:$F$8</definedName>
    <definedName name="_xlchart.v2.5" hidden="1">'Pivot Tables'!$G$3</definedName>
    <definedName name="_xlchart.v2.6" hidden="1">'Pivot Tables'!$G$4:$G$8</definedName>
    <definedName name="_xlchart.v2.7" hidden="1">'Pivot Tables'!$D$4:$D$8</definedName>
    <definedName name="_xlchart.v2.8" hidden="1">'Pivot Tables'!$E$3</definedName>
    <definedName name="_xlchart.v2.9" hidden="1">'Pivot Tables'!$E$4:$E$8</definedName>
    <definedName name="_xlcn.WorksheetConnection_funnel_eventsversion2.xlsbTable21" hidden="1">Table2[]</definedName>
  </definedNames>
  <calcPr calcId="191029"/>
  <pivotCaches>
    <pivotCache cacheId="0" r:id="rId4"/>
    <pivotCache cacheId="130" r:id="rId5"/>
  </pivotCaches>
  <fileRecoveryPr repairLoad="1"/>
  <extLst>
    <ext xmlns:x15="http://schemas.microsoft.com/office/spreadsheetml/2010/11/main" uri="{FCE2AD5D-F65C-4FA6-A056-5C36A1767C68}">
      <x15:dataModel>
        <x15:modelTables>
          <x15:modelTable id="Table2" name="Table2" connection="WorksheetConnection_funnel_events (version 2).xlsb!Table2"/>
        </x15:modelTables>
        <x15:extLst>
          <ext xmlns:x16="http://schemas.microsoft.com/office/spreadsheetml/2014/11/main" uri="{9835A34E-60A6-4A7C-AAB8-D5F71C897F49}">
            <x16:modelTimeGroupings>
              <x16:modelTimeGrouping tableName="Table2" columnName="timestamp" columnId="timestamp">
                <x16:calculatedTimeColumn columnName="timestamp (Hour)" columnId="timestamp (Hour)" contentType="hours" isSelected="1"/>
                <x16:calculatedTimeColumn columnName="timestamp (Minute)" columnId="timestamp (Minute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3" i="1" l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L13" i="2"/>
  <c r="L12" i="2"/>
  <c r="E8" i="2"/>
  <c r="E7" i="2"/>
  <c r="E6" i="2"/>
  <c r="E5" i="2"/>
  <c r="G4" i="2"/>
  <c r="E4" i="2"/>
  <c r="I3" i="3" s="1"/>
  <c r="K13" i="2"/>
  <c r="K12" i="2"/>
  <c r="J13" i="2"/>
  <c r="J12" i="2"/>
  <c r="F3" i="3"/>
  <c r="C3" i="3"/>
  <c r="F7" i="2" l="1"/>
  <c r="G7" i="2" s="1"/>
  <c r="F8" i="2"/>
  <c r="G8" i="2" s="1"/>
  <c r="F6" i="2"/>
  <c r="G6" i="2" s="1"/>
  <c r="F5" i="2"/>
  <c r="G5" i="2" s="1"/>
  <c r="L3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94748D-9450-483C-9113-E806B633720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69937E2-C109-4258-92AD-DAA181E11E85}" name="WorksheetConnection_funnel_events (version 2).xlsb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funnel_eventsversion2.xlsbTable21"/>
        </x15:connection>
      </ext>
    </extLst>
  </connection>
</connections>
</file>

<file path=xl/sharedStrings.xml><?xml version="1.0" encoding="utf-8"?>
<sst xmlns="http://schemas.openxmlformats.org/spreadsheetml/2006/main" count="1142" uniqueCount="243">
  <si>
    <t>user_id</t>
  </si>
  <si>
    <t>step</t>
  </si>
  <si>
    <t>timestamp</t>
  </si>
  <si>
    <t>U070</t>
  </si>
  <si>
    <t>signup_started</t>
  </si>
  <si>
    <t>U026</t>
  </si>
  <si>
    <t>U007</t>
  </si>
  <si>
    <t>visited_site</t>
  </si>
  <si>
    <t>U136</t>
  </si>
  <si>
    <t>U018</t>
  </si>
  <si>
    <t>U154</t>
  </si>
  <si>
    <t>U183</t>
  </si>
  <si>
    <t>U074</t>
  </si>
  <si>
    <t>email_verified</t>
  </si>
  <si>
    <t>U198</t>
  </si>
  <si>
    <t>U052</t>
  </si>
  <si>
    <t>U083</t>
  </si>
  <si>
    <t>U119</t>
  </si>
  <si>
    <t>U006</t>
  </si>
  <si>
    <t>U001</t>
  </si>
  <si>
    <t>U072</t>
  </si>
  <si>
    <t>U020</t>
  </si>
  <si>
    <t>U054</t>
  </si>
  <si>
    <t>U097</t>
  </si>
  <si>
    <t>U095</t>
  </si>
  <si>
    <t>U182</t>
  </si>
  <si>
    <t>U174</t>
  </si>
  <si>
    <t>details_filled</t>
  </si>
  <si>
    <t>U022</t>
  </si>
  <si>
    <t>U010</t>
  </si>
  <si>
    <t>U145</t>
  </si>
  <si>
    <t>U142</t>
  </si>
  <si>
    <t>U073</t>
  </si>
  <si>
    <t>U162</t>
  </si>
  <si>
    <t>U027</t>
  </si>
  <si>
    <t>U141</t>
  </si>
  <si>
    <t>U172</t>
  </si>
  <si>
    <t>U035</t>
  </si>
  <si>
    <t>U156</t>
  </si>
  <si>
    <t>U107</t>
  </si>
  <si>
    <t>purchase_completed</t>
  </si>
  <si>
    <t>U032</t>
  </si>
  <si>
    <t>U075</t>
  </si>
  <si>
    <t>U115</t>
  </si>
  <si>
    <t>U170</t>
  </si>
  <si>
    <t>U147</t>
  </si>
  <si>
    <t>U080</t>
  </si>
  <si>
    <t>U044</t>
  </si>
  <si>
    <t>U088</t>
  </si>
  <si>
    <t>U195</t>
  </si>
  <si>
    <t>U190</t>
  </si>
  <si>
    <t>U033</t>
  </si>
  <si>
    <t>U106</t>
  </si>
  <si>
    <t>U177</t>
  </si>
  <si>
    <t>U173</t>
  </si>
  <si>
    <t>U004</t>
  </si>
  <si>
    <t>U081</t>
  </si>
  <si>
    <t>U076</t>
  </si>
  <si>
    <t>U184</t>
  </si>
  <si>
    <t>U015</t>
  </si>
  <si>
    <t>U002</t>
  </si>
  <si>
    <t>U104</t>
  </si>
  <si>
    <t>U143</t>
  </si>
  <si>
    <t>U079</t>
  </si>
  <si>
    <t>U023</t>
  </si>
  <si>
    <t>U148</t>
  </si>
  <si>
    <t>U040</t>
  </si>
  <si>
    <t>U187</t>
  </si>
  <si>
    <t>U067</t>
  </si>
  <si>
    <t>U050</t>
  </si>
  <si>
    <t>U019</t>
  </si>
  <si>
    <t>U017</t>
  </si>
  <si>
    <t>U166</t>
  </si>
  <si>
    <t>U024</t>
  </si>
  <si>
    <t>U090</t>
  </si>
  <si>
    <t>U059</t>
  </si>
  <si>
    <t>U112</t>
  </si>
  <si>
    <t>U108</t>
  </si>
  <si>
    <t>U038</t>
  </si>
  <si>
    <t>U069</t>
  </si>
  <si>
    <t>U037</t>
  </si>
  <si>
    <t>U041</t>
  </si>
  <si>
    <t>U178</t>
  </si>
  <si>
    <t>U199</t>
  </si>
  <si>
    <t>U053</t>
  </si>
  <si>
    <t>U098</t>
  </si>
  <si>
    <t>U161</t>
  </si>
  <si>
    <t>U146</t>
  </si>
  <si>
    <t>U016</t>
  </si>
  <si>
    <t>U085</t>
  </si>
  <si>
    <t>U094</t>
  </si>
  <si>
    <t>U102</t>
  </si>
  <si>
    <t>U062</t>
  </si>
  <si>
    <t>U091</t>
  </si>
  <si>
    <t>U011</t>
  </si>
  <si>
    <t>U105</t>
  </si>
  <si>
    <t>U031</t>
  </si>
  <si>
    <t>U078</t>
  </si>
  <si>
    <t>U043</t>
  </si>
  <si>
    <t>U030</t>
  </si>
  <si>
    <t>U013</t>
  </si>
  <si>
    <t>U021</t>
  </si>
  <si>
    <t>U005</t>
  </si>
  <si>
    <t>U003</t>
  </si>
  <si>
    <t>U063</t>
  </si>
  <si>
    <t>U123</t>
  </si>
  <si>
    <t>U164</t>
  </si>
  <si>
    <t>U039</t>
  </si>
  <si>
    <t>U194</t>
  </si>
  <si>
    <t>U046</t>
  </si>
  <si>
    <t>U009</t>
  </si>
  <si>
    <t>U109</t>
  </si>
  <si>
    <t>U171</t>
  </si>
  <si>
    <t>U150</t>
  </si>
  <si>
    <t>U192</t>
  </si>
  <si>
    <t>U093</t>
  </si>
  <si>
    <t>U047</t>
  </si>
  <si>
    <t>U125</t>
  </si>
  <si>
    <t>U181</t>
  </si>
  <si>
    <t>U057</t>
  </si>
  <si>
    <t>U152</t>
  </si>
  <si>
    <t>U025</t>
  </si>
  <si>
    <t>U101</t>
  </si>
  <si>
    <t>U149</t>
  </si>
  <si>
    <t>U064</t>
  </si>
  <si>
    <t>U089</t>
  </si>
  <si>
    <t>U082</t>
  </si>
  <si>
    <t>U087</t>
  </si>
  <si>
    <t>U188</t>
  </si>
  <si>
    <t>U096</t>
  </si>
  <si>
    <t>U122</t>
  </si>
  <si>
    <t>U042</t>
  </si>
  <si>
    <t>U049</t>
  </si>
  <si>
    <t>U169</t>
  </si>
  <si>
    <t>U008</t>
  </si>
  <si>
    <t>U113</t>
  </si>
  <si>
    <t>U179</t>
  </si>
  <si>
    <t>U151</t>
  </si>
  <si>
    <t>U060</t>
  </si>
  <si>
    <t>U144</t>
  </si>
  <si>
    <t>U061</t>
  </si>
  <si>
    <t>U014</t>
  </si>
  <si>
    <t>U034</t>
  </si>
  <si>
    <t>U110</t>
  </si>
  <si>
    <t>U048</t>
  </si>
  <si>
    <t>U084</t>
  </si>
  <si>
    <t>U159</t>
  </si>
  <si>
    <t>U077</t>
  </si>
  <si>
    <t>U127</t>
  </si>
  <si>
    <t>U012</t>
  </si>
  <si>
    <t>U065</t>
  </si>
  <si>
    <t>U167</t>
  </si>
  <si>
    <t>U036</t>
  </si>
  <si>
    <t>U086</t>
  </si>
  <si>
    <t>U045</t>
  </si>
  <si>
    <t>U180</t>
  </si>
  <si>
    <t>U051</t>
  </si>
  <si>
    <t>U056</t>
  </si>
  <si>
    <t>U058</t>
  </si>
  <si>
    <t>U116</t>
  </si>
  <si>
    <t>U028</t>
  </si>
  <si>
    <t>U066</t>
  </si>
  <si>
    <t>U133</t>
  </si>
  <si>
    <t>U111</t>
  </si>
  <si>
    <t>U126</t>
  </si>
  <si>
    <t>U103</t>
  </si>
  <si>
    <t>U055</t>
  </si>
  <si>
    <t>U121</t>
  </si>
  <si>
    <t>U130</t>
  </si>
  <si>
    <t>U092</t>
  </si>
  <si>
    <t>U140</t>
  </si>
  <si>
    <t>U128</t>
  </si>
  <si>
    <t>U029</t>
  </si>
  <si>
    <t>U100</t>
  </si>
  <si>
    <t>U071</t>
  </si>
  <si>
    <t>U117</t>
  </si>
  <si>
    <t>U175</t>
  </si>
  <si>
    <t>U134</t>
  </si>
  <si>
    <t>U131</t>
  </si>
  <si>
    <t>U196</t>
  </si>
  <si>
    <t>U099</t>
  </si>
  <si>
    <t>U163</t>
  </si>
  <si>
    <t>U068</t>
  </si>
  <si>
    <t>U186</t>
  </si>
  <si>
    <t>U176</t>
  </si>
  <si>
    <t>U153</t>
  </si>
  <si>
    <t>U137</t>
  </si>
  <si>
    <t>U189</t>
  </si>
  <si>
    <t>U132</t>
  </si>
  <si>
    <t>U168</t>
  </si>
  <si>
    <t>U191</t>
  </si>
  <si>
    <t>U157</t>
  </si>
  <si>
    <t>U118</t>
  </si>
  <si>
    <t>U155</t>
  </si>
  <si>
    <t>U197</t>
  </si>
  <si>
    <t>U135</t>
  </si>
  <si>
    <t>U160</t>
  </si>
  <si>
    <t>U138</t>
  </si>
  <si>
    <t>U120</t>
  </si>
  <si>
    <t>U165</t>
  </si>
  <si>
    <t>U129</t>
  </si>
  <si>
    <t>U200</t>
  </si>
  <si>
    <t>U139</t>
  </si>
  <si>
    <t>U124</t>
  </si>
  <si>
    <t>U158</t>
  </si>
  <si>
    <t>U185</t>
  </si>
  <si>
    <t>U114</t>
  </si>
  <si>
    <t>U193</t>
  </si>
  <si>
    <t>Grand Total</t>
  </si>
  <si>
    <t>Count of timestamp</t>
  </si>
  <si>
    <t>Step</t>
  </si>
  <si>
    <t>Users</t>
  </si>
  <si>
    <t>Conversion %</t>
  </si>
  <si>
    <t>Drop-off %</t>
  </si>
  <si>
    <t>Steps</t>
  </si>
  <si>
    <t>APP USER FUNNEL ANALYSIS</t>
  </si>
  <si>
    <t>Total Users</t>
  </si>
  <si>
    <t>Completed</t>
  </si>
  <si>
    <t>Overall Conversion %</t>
  </si>
  <si>
    <t>Biggest Drop-off</t>
  </si>
  <si>
    <t>Segment</t>
  </si>
  <si>
    <t>Row Labels</t>
  </si>
  <si>
    <t>New User</t>
  </si>
  <si>
    <t>Returning User</t>
  </si>
  <si>
    <t>Count of user_id</t>
  </si>
  <si>
    <t>Column Labels</t>
  </si>
  <si>
    <t>Data Quality Check</t>
  </si>
  <si>
    <t>Missing Values</t>
  </si>
  <si>
    <t>No missing values found</t>
  </si>
  <si>
    <t>Duplicate Records</t>
  </si>
  <si>
    <t>No exact duplicate records found</t>
  </si>
  <si>
    <t>Data Types</t>
  </si>
  <si>
    <t>Funnel Sequence</t>
  </si>
  <si>
    <t>Correctly maintained</t>
  </si>
  <si>
    <t>Visited</t>
  </si>
  <si>
    <t>Purchase</t>
  </si>
  <si>
    <t>Overall Conversion</t>
  </si>
  <si>
    <t>Recommendations</t>
  </si>
  <si>
    <t>Simplify the email verification process to reduce friction.</t>
  </si>
  <si>
    <t>Implement one-click email verification links.</t>
  </si>
  <si>
    <t>Send reminder emails to users who have not verified their accounts.</t>
  </si>
  <si>
    <t>Monitor email delivery failures and verification completion rates.</t>
  </si>
  <si>
    <t xml:space="preserve"> user_id (string), step (categorical string) and timestamp (date/time)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</si>
</sst>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8"/>
      <color theme="0"/>
      <name val="Aharoni"/>
      <charset val="177"/>
    </font>
    <font>
      <b/>
      <sz val="20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0" fontId="0" fillId="0" borderId="10" xfId="0" applyBorder="1"/>
    <xf numFmtId="10" fontId="0" fillId="0" borderId="10" xfId="0" applyNumberFormat="1" applyBorder="1"/>
    <xf numFmtId="0" fontId="0" fillId="0" borderId="10" xfId="0" applyBorder="1" applyAlignment="1">
      <alignment horizontal="left"/>
    </xf>
    <xf numFmtId="0" fontId="16" fillId="33" borderId="10" xfId="0" applyFont="1" applyFill="1" applyBorder="1" applyAlignment="1">
      <alignment horizontal="center" vertical="center" wrapText="1"/>
    </xf>
    <xf numFmtId="0" fontId="0" fillId="0" borderId="0" xfId="0" applyNumberFormat="1"/>
    <xf numFmtId="0" fontId="19" fillId="0" borderId="0" xfId="0" applyFont="1" applyAlignment="1"/>
    <xf numFmtId="0" fontId="20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8" fontId="0" fillId="0" borderId="0" xfId="0" applyNumberFormat="1" applyAlignment="1">
      <alignment vertical="center" wrapText="1"/>
    </xf>
    <xf numFmtId="0" fontId="0" fillId="35" borderId="0" xfId="0" applyFill="1"/>
    <xf numFmtId="0" fontId="23" fillId="34" borderId="0" xfId="0" applyFont="1" applyFill="1" applyBorder="1" applyAlignment="1">
      <alignment horizontal="center"/>
    </xf>
    <xf numFmtId="0" fontId="24" fillId="34" borderId="0" xfId="0" applyFont="1" applyFill="1" applyAlignment="1">
      <alignment horizontal="center"/>
    </xf>
    <xf numFmtId="0" fontId="16" fillId="3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9" fontId="0" fillId="0" borderId="10" xfId="0" applyNumberFormat="1" applyBorder="1" applyAlignment="1">
      <alignment vertical="center" wrapText="1"/>
    </xf>
    <xf numFmtId="0" fontId="22" fillId="36" borderId="0" xfId="0" applyFont="1" applyFill="1" applyBorder="1" applyAlignment="1">
      <alignment horizontal="center"/>
    </xf>
    <xf numFmtId="10" fontId="22" fillId="36" borderId="0" xfId="0" applyNumberFormat="1" applyFont="1" applyFill="1" applyBorder="1" applyAlignment="1">
      <alignment horizontal="center"/>
    </xf>
    <xf numFmtId="0" fontId="25" fillId="34" borderId="0" xfId="0" applyFont="1" applyFill="1" applyBorder="1" applyAlignment="1">
      <alignment horizontal="center"/>
    </xf>
    <xf numFmtId="0" fontId="25" fillId="34" borderId="11" xfId="0" applyFont="1" applyFill="1" applyBorder="1" applyAlignment="1">
      <alignment horizontal="center"/>
    </xf>
    <xf numFmtId="0" fontId="18" fillId="35" borderId="0" xfId="0" applyFont="1" applyFill="1" applyBorder="1" applyAlignment="1">
      <alignment horizontal="center" vertical="center" wrapText="1"/>
    </xf>
    <xf numFmtId="0" fontId="18" fillId="35" borderId="0" xfId="0" applyFont="1" applyFill="1"/>
    <xf numFmtId="0" fontId="18" fillId="35" borderId="11" xfId="0" applyFont="1" applyFill="1" applyBorder="1" applyAlignment="1">
      <alignment horizontal="center" vertical="center" wrapText="1"/>
    </xf>
    <xf numFmtId="0" fontId="21" fillId="36" borderId="0" xfId="0" applyFont="1" applyFill="1" applyBorder="1" applyAlignment="1">
      <alignment horizontal="center" vertical="center" wrapText="1"/>
    </xf>
    <xf numFmtId="0" fontId="21" fillId="36" borderId="11" xfId="0" applyFont="1" applyFill="1" applyBorder="1" applyAlignment="1">
      <alignment horizontal="center" vertical="center" wrapText="1"/>
    </xf>
    <xf numFmtId="0" fontId="18" fillId="36" borderId="0" xfId="0" applyFont="1" applyFill="1"/>
    <xf numFmtId="0" fontId="0" fillId="34" borderId="0" xfId="0" applyFill="1"/>
    <xf numFmtId="0" fontId="26" fillId="35" borderId="0" xfId="0" applyFont="1" applyFill="1" applyBorder="1" applyAlignment="1">
      <alignment horizontal="center" vertical="center" wrapText="1"/>
    </xf>
    <xf numFmtId="0" fontId="23" fillId="36" borderId="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27" formatCode="dd/mm/yyyy\ hh:mm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Stage Conversion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8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1"/>
          <c:tx>
            <c:strRef>
              <c:f>'Pivot Tables'!$F$3</c:f>
              <c:strCache>
                <c:ptCount val="1"/>
                <c:pt idx="0">
                  <c:v>Conversion %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70000"/>
                  </a:schemeClr>
                </a:gs>
                <a:gs pos="100000">
                  <a:schemeClr val="accent1">
                    <a:shade val="700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Tables'!$D$4:$D$8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'Pivot Tables'!$F$4:$F$8</c:f>
              <c:numCache>
                <c:formatCode>0.00%</c:formatCode>
                <c:ptCount val="5"/>
                <c:pt idx="0">
                  <c:v>1</c:v>
                </c:pt>
                <c:pt idx="1">
                  <c:v>0.75</c:v>
                </c:pt>
                <c:pt idx="2">
                  <c:v>0.64</c:v>
                </c:pt>
                <c:pt idx="3">
                  <c:v>0.54166666666666663</c:v>
                </c:pt>
                <c:pt idx="4">
                  <c:v>0.84615384615384615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1B-4F83-A31E-9627612BD8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1820448"/>
        <c:axId val="2130522032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'Pivot Tables'!$E$3</c15:sqref>
                        </c15:formulaRef>
                      </c:ext>
                    </c:extLst>
                    <c:strCache>
                      <c:ptCount val="1"/>
                      <c:pt idx="0">
                        <c:v>Users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>
                          <a:shade val="90000"/>
                        </a:schemeClr>
                      </a:gs>
                      <a:gs pos="100000">
                        <a:schemeClr val="accent1">
                          <a:shade val="9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'Pivot Tables'!$D$4:$D$8</c15:sqref>
                        </c15:formulaRef>
                      </c:ext>
                    </c:extLst>
                    <c:strCache>
                      <c:ptCount val="5"/>
                      <c:pt idx="0">
                        <c:v>visited_site</c:v>
                      </c:pt>
                      <c:pt idx="1">
                        <c:v>signup_started</c:v>
                      </c:pt>
                      <c:pt idx="2">
                        <c:v>details_filled</c:v>
                      </c:pt>
                      <c:pt idx="3">
                        <c:v>email_verified</c:v>
                      </c:pt>
                      <c:pt idx="4">
                        <c:v>purchase_completed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'Pivot Tables'!$E$4:$E$8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200</c:v>
                      </c:pt>
                      <c:pt idx="1">
                        <c:v>150</c:v>
                      </c:pt>
                      <c:pt idx="2">
                        <c:v>96</c:v>
                      </c:pt>
                      <c:pt idx="3">
                        <c:v>52</c:v>
                      </c:pt>
                      <c:pt idx="4">
                        <c:v>44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F21B-4F83-A31E-9627612BD856}"/>
                  </c:ext>
                </c:extLst>
              </c15:ser>
            </c15:filteredBarSeries>
            <c15:filteredBarSeries>
              <c15:ser>
                <c:idx val="5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'Pivot Tables'!$G$3</c15:sqref>
                        </c15:formulaRef>
                      </c:ext>
                    </c:extLst>
                    <c:strCache>
                      <c:ptCount val="1"/>
                      <c:pt idx="0">
                        <c:v>Drop-off %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>
                          <a:shade val="50000"/>
                        </a:schemeClr>
                      </a:gs>
                      <a:gs pos="100000">
                        <a:schemeClr val="accent1">
                          <a:shade val="5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Tables'!$D$4:$D$8</c15:sqref>
                        </c15:formulaRef>
                      </c:ext>
                    </c:extLst>
                    <c:strCache>
                      <c:ptCount val="5"/>
                      <c:pt idx="0">
                        <c:v>visited_site</c:v>
                      </c:pt>
                      <c:pt idx="1">
                        <c:v>signup_started</c:v>
                      </c:pt>
                      <c:pt idx="2">
                        <c:v>details_filled</c:v>
                      </c:pt>
                      <c:pt idx="3">
                        <c:v>email_verified</c:v>
                      </c:pt>
                      <c:pt idx="4">
                        <c:v>purchase_completed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'Pivot Tables'!$G$4:$G$8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0.36</c:v>
                      </c:pt>
                      <c:pt idx="3">
                        <c:v>0.45833333333333337</c:v>
                      </c:pt>
                      <c:pt idx="4">
                        <c:v>0.15384615384615385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21B-4F83-A31E-9627612BD856}"/>
                  </c:ext>
                </c:extLst>
              </c15:ser>
            </c15:filteredBarSeries>
            <c15:filteredBar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'Pivot Tables'!$E$3</c15:sqref>
                        </c15:formulaRef>
                      </c:ext>
                    </c:extLst>
                    <c:strCache>
                      <c:ptCount val="1"/>
                      <c:pt idx="0">
                        <c:v>Users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>
                          <a:tint val="50000"/>
                        </a:schemeClr>
                      </a:gs>
                      <a:gs pos="100000">
                        <a:schemeClr val="accent1">
                          <a:tint val="5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'Pivot Tables'!$D$4:$D$8</c15:sqref>
                        </c15:formulaRef>
                      </c:ext>
                    </c:extLst>
                    <c:strCache>
                      <c:ptCount val="5"/>
                      <c:pt idx="0">
                        <c:v>visited_site</c:v>
                      </c:pt>
                      <c:pt idx="1">
                        <c:v>signup_started</c:v>
                      </c:pt>
                      <c:pt idx="2">
                        <c:v>details_filled</c:v>
                      </c:pt>
                      <c:pt idx="3">
                        <c:v>email_verified</c:v>
                      </c:pt>
                      <c:pt idx="4">
                        <c:v>purchase_completed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'Pivot Tables'!$E$4:$E$8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200</c:v>
                      </c:pt>
                      <c:pt idx="1">
                        <c:v>150</c:v>
                      </c:pt>
                      <c:pt idx="2">
                        <c:v>96</c:v>
                      </c:pt>
                      <c:pt idx="3">
                        <c:v>52</c:v>
                      </c:pt>
                      <c:pt idx="4">
                        <c:v>44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21B-4F83-A31E-9627612BD856}"/>
                  </c:ext>
                </c:extLst>
              </c15:ser>
            </c15:filteredBarSeries>
            <c15:filteredBarSeries>
              <c15:ser>
                <c:idx val="1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Tables'!$F$3</c15:sqref>
                        </c15:formulaRef>
                      </c:ext>
                    </c:extLst>
                    <c:strCache>
                      <c:ptCount val="1"/>
                      <c:pt idx="0">
                        <c:v>Conversion %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>
                          <a:tint val="70000"/>
                        </a:schemeClr>
                      </a:gs>
                      <a:gs pos="100000">
                        <a:schemeClr val="accent1">
                          <a:tint val="7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Tables'!$D$4:$D$8</c15:sqref>
                        </c15:formulaRef>
                      </c:ext>
                    </c:extLst>
                    <c:strCache>
                      <c:ptCount val="5"/>
                      <c:pt idx="0">
                        <c:v>visited_site</c:v>
                      </c:pt>
                      <c:pt idx="1">
                        <c:v>signup_started</c:v>
                      </c:pt>
                      <c:pt idx="2">
                        <c:v>details_filled</c:v>
                      </c:pt>
                      <c:pt idx="3">
                        <c:v>email_verified</c:v>
                      </c:pt>
                      <c:pt idx="4">
                        <c:v>purchase_completed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'Pivot Tables'!$F$4:$F$8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0.64</c:v>
                      </c:pt>
                      <c:pt idx="3">
                        <c:v>0.54166666666666663</c:v>
                      </c:pt>
                      <c:pt idx="4">
                        <c:v>0.84615384615384615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F21B-4F83-A31E-9627612BD856}"/>
                  </c:ext>
                </c:extLst>
              </c15:ser>
            </c15:filteredBarSeries>
          </c:ext>
        </c:extLst>
      </c:barChart>
      <c:catAx>
        <c:axId val="19182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22032"/>
        <c:crosses val="autoZero"/>
        <c:auto val="1"/>
        <c:lblAlgn val="ctr"/>
        <c:lblOffset val="100"/>
        <c:noMultiLvlLbl val="0"/>
      </c:catAx>
      <c:valAx>
        <c:axId val="213052203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182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Stage-wise User Drop-off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8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2"/>
          <c:tx>
            <c:strRef>
              <c:f>'Pivot Tables'!$G$3</c:f>
              <c:strCache>
                <c:ptCount val="1"/>
                <c:pt idx="0">
                  <c:v>Drop-off %</c:v>
                </c:pt>
              </c:strCache>
              <c:extLst xmlns:c15="http://schemas.microsoft.com/office/drawing/2012/chart"/>
            </c:strRef>
          </c:tx>
          <c:spPr>
            <a:gradFill>
              <a:gsLst>
                <a:gs pos="0">
                  <a:schemeClr val="accent1">
                    <a:shade val="50000"/>
                  </a:schemeClr>
                </a:gs>
                <a:gs pos="100000">
                  <a:schemeClr val="accent1">
                    <a:shade val="500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7A6FCAD-32AC-4B5F-8736-3FAD10A5D30E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27F1-40AD-A687-A1DBC8DC84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Tables'!$D$4:$D$8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  <c:extLst xmlns:c15="http://schemas.microsoft.com/office/drawing/2012/chart"/>
            </c:strRef>
          </c:cat>
          <c:val>
            <c:numRef>
              <c:f>'Pivot Tables'!$G$4:$G$8</c:f>
              <c:numCache>
                <c:formatCode>0.00%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0.36</c:v>
                </c:pt>
                <c:pt idx="3">
                  <c:v>0.45833333333333337</c:v>
                </c:pt>
                <c:pt idx="4">
                  <c:v>0.15384615384615385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27F1-40AD-A687-A1DBC8DC84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1820448"/>
        <c:axId val="2130522032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'Pivot Tables'!$E$3</c15:sqref>
                        </c15:formulaRef>
                      </c:ext>
                    </c:extLst>
                    <c:strCache>
                      <c:ptCount val="1"/>
                      <c:pt idx="0">
                        <c:v>Users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>
                          <a:shade val="90000"/>
                        </a:schemeClr>
                      </a:gs>
                      <a:gs pos="100000">
                        <a:schemeClr val="accent1">
                          <a:shade val="9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'Pivot Tables'!$D$4:$D$8</c15:sqref>
                        </c15:formulaRef>
                      </c:ext>
                    </c:extLst>
                    <c:strCache>
                      <c:ptCount val="5"/>
                      <c:pt idx="0">
                        <c:v>visited_site</c:v>
                      </c:pt>
                      <c:pt idx="1">
                        <c:v>signup_started</c:v>
                      </c:pt>
                      <c:pt idx="2">
                        <c:v>details_filled</c:v>
                      </c:pt>
                      <c:pt idx="3">
                        <c:v>email_verified</c:v>
                      </c:pt>
                      <c:pt idx="4">
                        <c:v>purchase_completed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'Pivot Tables'!$E$4:$E$8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200</c:v>
                      </c:pt>
                      <c:pt idx="1">
                        <c:v>150</c:v>
                      </c:pt>
                      <c:pt idx="2">
                        <c:v>96</c:v>
                      </c:pt>
                      <c:pt idx="3">
                        <c:v>52</c:v>
                      </c:pt>
                      <c:pt idx="4">
                        <c:v>44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7F1-40AD-A687-A1DBC8DC8477}"/>
                  </c:ext>
                </c:extLst>
              </c15:ser>
            </c15:filteredBarSeries>
            <c15:filteredBarSeries>
              <c15:ser>
                <c:idx val="4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Tables'!$F$3</c15:sqref>
                        </c15:formulaRef>
                      </c:ext>
                    </c:extLst>
                    <c:strCache>
                      <c:ptCount val="1"/>
                      <c:pt idx="0">
                        <c:v>Conversion %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>
                          <a:shade val="70000"/>
                        </a:schemeClr>
                      </a:gs>
                      <a:gs pos="100000">
                        <a:schemeClr val="accent1">
                          <a:shade val="7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Tables'!$D$4:$D$8</c15:sqref>
                        </c15:formulaRef>
                      </c:ext>
                    </c:extLst>
                    <c:strCache>
                      <c:ptCount val="5"/>
                      <c:pt idx="0">
                        <c:v>visited_site</c:v>
                      </c:pt>
                      <c:pt idx="1">
                        <c:v>signup_started</c:v>
                      </c:pt>
                      <c:pt idx="2">
                        <c:v>details_filled</c:v>
                      </c:pt>
                      <c:pt idx="3">
                        <c:v>email_verified</c:v>
                      </c:pt>
                      <c:pt idx="4">
                        <c:v>purchase_completed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'Pivot Tables'!$F$4:$F$8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0.64</c:v>
                      </c:pt>
                      <c:pt idx="3">
                        <c:v>0.54166666666666663</c:v>
                      </c:pt>
                      <c:pt idx="4">
                        <c:v>0.84615384615384615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7F1-40AD-A687-A1DBC8DC8477}"/>
                  </c:ext>
                </c:extLst>
              </c15:ser>
            </c15:filteredBarSeries>
            <c15:filteredBar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'Pivot Tables'!$E$3</c15:sqref>
                        </c15:formulaRef>
                      </c:ext>
                    </c:extLst>
                    <c:strCache>
                      <c:ptCount val="1"/>
                      <c:pt idx="0">
                        <c:v>Users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>
                          <a:tint val="50000"/>
                        </a:schemeClr>
                      </a:gs>
                      <a:gs pos="100000">
                        <a:schemeClr val="accent1">
                          <a:tint val="5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'Pivot Tables'!$D$4:$D$8</c15:sqref>
                        </c15:formulaRef>
                      </c:ext>
                    </c:extLst>
                    <c:strCache>
                      <c:ptCount val="5"/>
                      <c:pt idx="0">
                        <c:v>visited_site</c:v>
                      </c:pt>
                      <c:pt idx="1">
                        <c:v>signup_started</c:v>
                      </c:pt>
                      <c:pt idx="2">
                        <c:v>details_filled</c:v>
                      </c:pt>
                      <c:pt idx="3">
                        <c:v>email_verified</c:v>
                      </c:pt>
                      <c:pt idx="4">
                        <c:v>purchase_completed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'Pivot Tables'!$E$4:$E$8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200</c:v>
                      </c:pt>
                      <c:pt idx="1">
                        <c:v>150</c:v>
                      </c:pt>
                      <c:pt idx="2">
                        <c:v>96</c:v>
                      </c:pt>
                      <c:pt idx="3">
                        <c:v>52</c:v>
                      </c:pt>
                      <c:pt idx="4">
                        <c:v>44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7F1-40AD-A687-A1DBC8DC8477}"/>
                  </c:ext>
                </c:extLst>
              </c15:ser>
            </c15:filteredBarSeries>
            <c15:filteredBarSeries>
              <c15:ser>
                <c:idx val="1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'Pivot Tables'!$F$3</c15:sqref>
                        </c15:formulaRef>
                      </c:ext>
                    </c:extLst>
                    <c:strCache>
                      <c:ptCount val="1"/>
                      <c:pt idx="0">
                        <c:v>Conversion %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>
                          <a:tint val="70000"/>
                        </a:schemeClr>
                      </a:gs>
                      <a:gs pos="100000">
                        <a:schemeClr val="accent1">
                          <a:tint val="7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'Pivot Tables'!$D$4:$D$8</c15:sqref>
                        </c15:formulaRef>
                      </c:ext>
                    </c:extLst>
                    <c:strCache>
                      <c:ptCount val="5"/>
                      <c:pt idx="0">
                        <c:v>visited_site</c:v>
                      </c:pt>
                      <c:pt idx="1">
                        <c:v>signup_started</c:v>
                      </c:pt>
                      <c:pt idx="2">
                        <c:v>details_filled</c:v>
                      </c:pt>
                      <c:pt idx="3">
                        <c:v>email_verified</c:v>
                      </c:pt>
                      <c:pt idx="4">
                        <c:v>purchase_completed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'Pivot Tables'!$F$4:$F$8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0.64</c:v>
                      </c:pt>
                      <c:pt idx="3">
                        <c:v>0.54166666666666663</c:v>
                      </c:pt>
                      <c:pt idx="4">
                        <c:v>0.84615384615384615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7F1-40AD-A687-A1DBC8DC8477}"/>
                  </c:ext>
                </c:extLst>
              </c15:ser>
            </c15:filteredBarSeries>
          </c:ext>
        </c:extLst>
      </c:barChart>
      <c:catAx>
        <c:axId val="19182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22032"/>
        <c:crosses val="autoZero"/>
        <c:auto val="1"/>
        <c:lblAlgn val="ctr"/>
        <c:lblOffset val="100"/>
        <c:noMultiLvlLbl val="0"/>
      </c:catAx>
      <c:valAx>
        <c:axId val="213052203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182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Overall Conversion by User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8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Tables'!$L$11</c:f>
              <c:strCache>
                <c:ptCount val="1"/>
                <c:pt idx="0">
                  <c:v>Overall Conversion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15-4283-A941-B6150143F3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Tables'!$I$12:$I$13</c:f>
              <c:strCache>
                <c:ptCount val="2"/>
                <c:pt idx="0">
                  <c:v>New User</c:v>
                </c:pt>
                <c:pt idx="1">
                  <c:v>Returning User</c:v>
                </c:pt>
              </c:strCache>
            </c:strRef>
          </c:cat>
          <c:val>
            <c:numRef>
              <c:f>'Pivot Tables'!$L$12:$L$13</c:f>
              <c:numCache>
                <c:formatCode>0%</c:formatCode>
                <c:ptCount val="2"/>
                <c:pt idx="0">
                  <c:v>0.02</c:v>
                </c:pt>
                <c:pt idx="1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5-4283-A941-B6150143F3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84015839"/>
        <c:axId val="14107567"/>
      </c:barChart>
      <c:catAx>
        <c:axId val="284015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7567"/>
        <c:crosses val="autoZero"/>
        <c:auto val="1"/>
        <c:lblAlgn val="ctr"/>
        <c:lblOffset val="100"/>
        <c:noMultiLvlLbl val="0"/>
      </c:catAx>
      <c:valAx>
        <c:axId val="14107567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01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  <cx:data id="1">
      <cx:strDim type="cat">
        <cx:f>_xlchart.v2.0</cx:f>
      </cx:strDim>
      <cx:numDim type="val">
        <cx:f>_xlchart.v2.4</cx:f>
      </cx:numDim>
    </cx:data>
    <cx:data id="2">
      <cx:strDim type="cat">
        <cx:f>_xlchart.v2.0</cx:f>
      </cx:strDim>
      <cx:numDim type="val">
        <cx:f>_xlchart.v2.6</cx:f>
      </cx:numDim>
    </cx:data>
  </cx:chartData>
  <cx:chart>
    <cx:title pos="t" align="ctr" overlay="0">
      <cx:tx>
        <cx:txData>
          <cx:v>App User Funnel</cx:v>
        </cx:txData>
      </cx:tx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US" sz="18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defRPr>
          </a:pPr>
          <a:r>
            <a:rPr lang="en-US" sz="18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rPr>
            <a:t>App User Funnel</a:t>
          </a:r>
        </a:p>
      </cx:txPr>
    </cx:title>
    <cx:plotArea>
      <cx:plotAreaRegion>
        <cx:series layoutId="funnel" uniqueId="{EF5E5F7A-A5F6-4F24-8371-141CEAE52EC3}" formatIdx="0">
          <cx:tx>
            <cx:txData>
              <cx:f>_xlchart.v2.1</cx:f>
              <cx:v>Users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1F1864D1-D660-4815-94B3-E96EE7F48EF4}" formatIdx="1">
          <cx:tx>
            <cx:txData>
              <cx:f>_xlchart.v2.3</cx:f>
              <cx:v>Conversion %</cx:v>
            </cx:txData>
          </cx:tx>
          <cx:dataLabels>
            <cx:visibility seriesName="0" categoryName="0" value="1"/>
          </cx:dataLabels>
          <cx:dataId val="1"/>
        </cx:series>
        <cx:series layoutId="funnel" hidden="1" uniqueId="{8E074B79-8CBA-41C0-AFF1-DD48514E9EB5}" formatIdx="2">
          <cx:tx>
            <cx:txData>
              <cx:f>_xlchart.v2.5</cx:f>
              <cx:v>Drop-off %</cx:v>
            </cx:txData>
          </cx:tx>
          <cx:dataLabels>
            <cx:visibility seriesName="0" categoryName="0" value="1"/>
          </cx:dataLabels>
          <cx:dataId val="2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en-US" sz="900" b="0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Aptos Narrow" panose="02110004020202020204"/>
            </a:endParaRPr>
          </a:p>
        </cx:txPr>
      </cx:axis>
    </cx:plotArea>
  </cx:chart>
  <cx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>
      <a:solidFill>
        <a:schemeClr val="lt1">
          <a:shade val="50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157162</xdr:rowOff>
    </xdr:from>
    <xdr:to>
      <xdr:col>8</xdr:col>
      <xdr:colOff>386952</xdr:colOff>
      <xdr:row>20</xdr:row>
      <xdr:rowOff>4762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CC0F06E-2DCF-44C0-A4BD-84726DE3C2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01366"/>
              <a:ext cx="5625702" cy="2705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20</xdr:row>
      <xdr:rowOff>47625</xdr:rowOff>
    </xdr:from>
    <xdr:to>
      <xdr:col>8</xdr:col>
      <xdr:colOff>386952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DB6AC4-7CEE-48EC-9B5B-4B8F8763C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440531</xdr:colOff>
      <xdr:row>20</xdr:row>
      <xdr:rowOff>48155</xdr:rowOff>
    </xdr:from>
    <xdr:to>
      <xdr:col>14</xdr:col>
      <xdr:colOff>1493176</xdr:colOff>
      <xdr:row>35</xdr:row>
      <xdr:rowOff>76730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4C8B01-4E7E-411D-8F04-B436EA79F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17250</xdr:colOff>
      <xdr:row>35</xdr:row>
      <xdr:rowOff>103189</xdr:rowOff>
    </xdr:from>
    <xdr:to>
      <xdr:col>14</xdr:col>
      <xdr:colOff>1512093</xdr:colOff>
      <xdr:row>43</xdr:row>
      <xdr:rowOff>166686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C086F95-1109-FEAC-9E29-A889F3769E4B}"/>
            </a:ext>
          </a:extLst>
        </xdr:cNvPr>
        <xdr:cNvSpPr txBox="1"/>
      </xdr:nvSpPr>
      <xdr:spPr>
        <a:xfrm>
          <a:off x="17250" y="6919518"/>
          <a:ext cx="11507999" cy="1492247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IN" sz="1800" b="1"/>
            <a:t>Key Insights: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IN" sz="1400"/>
            <a:t>A total of </a:t>
          </a:r>
          <a:r>
            <a:rPr lang="en-IN" sz="1400" b="1"/>
            <a:t>200 users </a:t>
          </a:r>
          <a:r>
            <a:rPr lang="en-IN" sz="1400"/>
            <a:t>entered the application funnel..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IN" sz="1400" b="1"/>
            <a:t>150 users (75%)</a:t>
          </a:r>
          <a:r>
            <a:rPr lang="en-IN" sz="1400"/>
            <a:t> proceeded to the signup stage after visiting the site.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IN" sz="1400"/>
            <a:t>The </a:t>
          </a:r>
          <a:r>
            <a:rPr lang="en-IN" sz="1400" b="1"/>
            <a:t>Details Filled → Email Verified</a:t>
          </a:r>
          <a:r>
            <a:rPr lang="en-IN" sz="1400"/>
            <a:t> stage experienced the highest user drop-off (</a:t>
          </a:r>
          <a:r>
            <a:rPr lang="en-IN" sz="1400" b="1"/>
            <a:t>45.83%</a:t>
          </a:r>
          <a:r>
            <a:rPr lang="en-IN" sz="1400"/>
            <a:t>), indicating the primary bottleneck in the funnel.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IN" sz="1400"/>
            <a:t>After email verification, </a:t>
          </a:r>
          <a:r>
            <a:rPr lang="en-IN" sz="1400" b="1"/>
            <a:t>84.62%</a:t>
          </a:r>
          <a:r>
            <a:rPr lang="en-IN" sz="1400"/>
            <a:t> of users completed the purchase, suggesting the checkout process is efficient once users are verified.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IN" sz="1400"/>
            <a:t>Only </a:t>
          </a:r>
          <a:r>
            <a:rPr lang="en-IN" sz="1400" b="1"/>
            <a:t>44 users</a:t>
          </a:r>
          <a:r>
            <a:rPr lang="en-IN" sz="1400"/>
            <a:t> completed the full journey, resulting in an </a:t>
          </a:r>
          <a:r>
            <a:rPr lang="en-IN" sz="1400" b="1"/>
            <a:t>overall conversion rate of 22%</a:t>
          </a:r>
          <a:r>
            <a:rPr lang="en-IN" sz="1400"/>
            <a:t>.</a:t>
          </a:r>
        </a:p>
      </xdr:txBody>
    </xdr:sp>
    <xdr:clientData/>
  </xdr:twoCellAnchor>
  <xdr:oneCellAnchor>
    <xdr:from>
      <xdr:col>12</xdr:col>
      <xdr:colOff>636984</xdr:colOff>
      <xdr:row>2</xdr:row>
      <xdr:rowOff>11905</xdr:rowOff>
    </xdr:from>
    <xdr:ext cx="1035843" cy="609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19A350E-B478-D6C2-2259-96BA75747CD2}"/>
            </a:ext>
          </a:extLst>
        </xdr:cNvPr>
        <xdr:cNvSpPr txBox="1"/>
      </xdr:nvSpPr>
      <xdr:spPr>
        <a:xfrm>
          <a:off x="8798719" y="648890"/>
          <a:ext cx="1035843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r>
            <a:rPr lang="en-IN" b="1">
              <a:solidFill>
                <a:sysClr val="windowText" lastClr="000000"/>
              </a:solidFill>
            </a:rPr>
            <a:t>  Details Filled</a:t>
          </a:r>
        </a:p>
        <a:p>
          <a:pPr algn="ctr"/>
          <a:r>
            <a:rPr lang="en-IN" b="1">
              <a:solidFill>
                <a:sysClr val="windowText" lastClr="000000"/>
              </a:solidFill>
            </a:rPr>
            <a:t>↓</a:t>
          </a:r>
        </a:p>
        <a:p>
          <a:pPr algn="ctr"/>
          <a:r>
            <a:rPr lang="en-IN" b="1">
              <a:solidFill>
                <a:sysClr val="windowText" lastClr="000000"/>
              </a:solidFill>
            </a:rPr>
            <a:t>Email Verified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8</xdr:col>
      <xdr:colOff>428623</xdr:colOff>
      <xdr:row>4</xdr:row>
      <xdr:rowOff>166687</xdr:rowOff>
    </xdr:from>
    <xdr:to>
      <xdr:col>14</xdr:col>
      <xdr:colOff>1488280</xdr:colOff>
      <xdr:row>19</xdr:row>
      <xdr:rowOff>154780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924FB88-27AA-4CA2-9BB2-2FA08686B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38.57973229167" createdVersion="8" refreshedVersion="8" minRefreshableVersion="3" recordCount="542" xr:uid="{5C458FF1-039D-4875-BB77-14746455746C}">
  <cacheSource type="worksheet">
    <worksheetSource name="Table2"/>
  </cacheSource>
  <cacheFields count="3">
    <cacheField name="user_id" numFmtId="0">
      <sharedItems count="200">
        <s v="U070"/>
        <s v="U026"/>
        <s v="U007"/>
        <s v="U136"/>
        <s v="U018"/>
        <s v="U154"/>
        <s v="U183"/>
        <s v="U074"/>
        <s v="U198"/>
        <s v="U052"/>
        <s v="U083"/>
        <s v="U119"/>
        <s v="U006"/>
        <s v="U001"/>
        <s v="U072"/>
        <s v="U020"/>
        <s v="U054"/>
        <s v="U097"/>
        <s v="U095"/>
        <s v="U182"/>
        <s v="U174"/>
        <s v="U022"/>
        <s v="U010"/>
        <s v="U145"/>
        <s v="U142"/>
        <s v="U073"/>
        <s v="U162"/>
        <s v="U027"/>
        <s v="U141"/>
        <s v="U172"/>
        <s v="U035"/>
        <s v="U156"/>
        <s v="U107"/>
        <s v="U032"/>
        <s v="U075"/>
        <s v="U115"/>
        <s v="U170"/>
        <s v="U147"/>
        <s v="U080"/>
        <s v="U044"/>
        <s v="U088"/>
        <s v="U195"/>
        <s v="U190"/>
        <s v="U033"/>
        <s v="U106"/>
        <s v="U177"/>
        <s v="U173"/>
        <s v="U004"/>
        <s v="U081"/>
        <s v="U076"/>
        <s v="U184"/>
        <s v="U015"/>
        <s v="U002"/>
        <s v="U104"/>
        <s v="U143"/>
        <s v="U079"/>
        <s v="U023"/>
        <s v="U148"/>
        <s v="U040"/>
        <s v="U187"/>
        <s v="U067"/>
        <s v="U050"/>
        <s v="U019"/>
        <s v="U017"/>
        <s v="U166"/>
        <s v="U024"/>
        <s v="U090"/>
        <s v="U059"/>
        <s v="U112"/>
        <s v="U108"/>
        <s v="U038"/>
        <s v="U069"/>
        <s v="U037"/>
        <s v="U041"/>
        <s v="U178"/>
        <s v="U199"/>
        <s v="U053"/>
        <s v="U098"/>
        <s v="U161"/>
        <s v="U146"/>
        <s v="U016"/>
        <s v="U085"/>
        <s v="U094"/>
        <s v="U102"/>
        <s v="U062"/>
        <s v="U091"/>
        <s v="U011"/>
        <s v="U105"/>
        <s v="U031"/>
        <s v="U078"/>
        <s v="U043"/>
        <s v="U030"/>
        <s v="U013"/>
        <s v="U021"/>
        <s v="U005"/>
        <s v="U003"/>
        <s v="U063"/>
        <s v="U123"/>
        <s v="U164"/>
        <s v="U039"/>
        <s v="U194"/>
        <s v="U046"/>
        <s v="U009"/>
        <s v="U109"/>
        <s v="U171"/>
        <s v="U150"/>
        <s v="U192"/>
        <s v="U093"/>
        <s v="U047"/>
        <s v="U125"/>
        <s v="U181"/>
        <s v="U057"/>
        <s v="U152"/>
        <s v="U025"/>
        <s v="U101"/>
        <s v="U149"/>
        <s v="U064"/>
        <s v="U089"/>
        <s v="U082"/>
        <s v="U087"/>
        <s v="U188"/>
        <s v="U096"/>
        <s v="U122"/>
        <s v="U042"/>
        <s v="U049"/>
        <s v="U169"/>
        <s v="U008"/>
        <s v="U113"/>
        <s v="U179"/>
        <s v="U151"/>
        <s v="U060"/>
        <s v="U144"/>
        <s v="U061"/>
        <s v="U014"/>
        <s v="U034"/>
        <s v="U110"/>
        <s v="U048"/>
        <s v="U084"/>
        <s v="U159"/>
        <s v="U077"/>
        <s v="U127"/>
        <s v="U012"/>
        <s v="U065"/>
        <s v="U167"/>
        <s v="U036"/>
        <s v="U086"/>
        <s v="U045"/>
        <s v="U180"/>
        <s v="U051"/>
        <s v="U056"/>
        <s v="U058"/>
        <s v="U116"/>
        <s v="U028"/>
        <s v="U066"/>
        <s v="U133"/>
        <s v="U111"/>
        <s v="U126"/>
        <s v="U103"/>
        <s v="U055"/>
        <s v="U121"/>
        <s v="U130"/>
        <s v="U092"/>
        <s v="U140"/>
        <s v="U128"/>
        <s v="U029"/>
        <s v="U100"/>
        <s v="U071"/>
        <s v="U117"/>
        <s v="U175"/>
        <s v="U134"/>
        <s v="U131"/>
        <s v="U196"/>
        <s v="U099"/>
        <s v="U163"/>
        <s v="U068"/>
        <s v="U186"/>
        <s v="U176"/>
        <s v="U153"/>
        <s v="U137"/>
        <s v="U189"/>
        <s v="U132"/>
        <s v="U168"/>
        <s v="U191"/>
        <s v="U157"/>
        <s v="U118"/>
        <s v="U155"/>
        <s v="U197"/>
        <s v="U135"/>
        <s v="U160"/>
        <s v="U138"/>
        <s v="U120"/>
        <s v="U165"/>
        <s v="U129"/>
        <s v="U200"/>
        <s v="U139"/>
        <s v="U124"/>
        <s v="U158"/>
        <s v="U185"/>
        <s v="U114"/>
        <s v="U193"/>
      </sharedItems>
    </cacheField>
    <cacheField name="step" numFmtId="0">
      <sharedItems count="5">
        <s v="signup_started"/>
        <s v="visited_site"/>
        <s v="email_verified"/>
        <s v="details_filled"/>
        <s v="purchase_completed"/>
      </sharedItems>
    </cacheField>
    <cacheField name="timestamp" numFmtId="22">
      <sharedItems containsSemiMixedTypes="0" containsNonDate="0" containsDate="1" containsString="0" minDate="2026-07-20T03:30:00" maxDate="2026-07-20T05:09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8.738885879633" backgroundQuery="1" createdVersion="8" refreshedVersion="8" minRefreshableVersion="3" recordCount="0" supportSubquery="1" supportAdvancedDrill="1" xr:uid="{A433D069-AD3C-40C2-8A25-99EB942C9202}">
  <cacheSource type="external" connectionId="1"/>
  <cacheFields count="3">
    <cacheField name="[Table2].[step].[step]" caption="step" numFmtId="0" hierarchy="1" level="1">
      <sharedItems count="5">
        <s v="details_filled"/>
        <s v="email_verified"/>
        <s v="purchase_completed"/>
        <s v="signup_started"/>
        <s v="visited_site"/>
      </sharedItems>
    </cacheField>
    <cacheField name="[Table2].[Segment].[Segment]" caption="Segment" numFmtId="0" hierarchy="3" level="1">
      <sharedItems count="2">
        <s v="New User"/>
        <s v="Returning User"/>
      </sharedItems>
    </cacheField>
    <cacheField name="[Measures].[Count of user_id]" caption="Count of user_id" numFmtId="0" hierarchy="10" level="32767"/>
  </cacheFields>
  <cacheHierarchies count="14">
    <cacheHierarchy uniqueName="[Table2].[user_id]" caption="user_id" attribute="1" defaultMemberUniqueName="[Table2].[user_id].[All]" allUniqueName="[Table2].[user_id].[All]" dimensionUniqueName="[Table2]" displayFolder="" count="0" memberValueDatatype="130" unbalanced="0"/>
    <cacheHierarchy uniqueName="[Table2].[step]" caption="step" attribute="1" defaultMemberUniqueName="[Table2].[step].[All]" allUniqueName="[Table2].[step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timestamp]" caption="timestamp" attribute="1" time="1" defaultMemberUniqueName="[Table2].[timestamp].[All]" allUniqueName="[Table2].[timestamp].[All]" dimensionUniqueName="[Table2]" displayFolder="" count="0" memberValueDatatype="7" unbalanced="0"/>
    <cacheHierarchy uniqueName="[Table2].[Segment]" caption="Segment" attribute="1" defaultMemberUniqueName="[Table2].[Segment].[All]" allUniqueName="[Table2].[Segment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timestamp (Hour)]" caption="timestamp (Hour)" attribute="1" defaultMemberUniqueName="[Table2].[timestamp (Hour)].[All]" allUniqueName="[Table2].[timestamp (Hour)].[All]" dimensionUniqueName="[Table2]" displayFolder="" count="0" memberValueDatatype="130" unbalanced="0"/>
    <cacheHierarchy uniqueName="[Table2].[timestamp (Minute)]" caption="timestamp (Minute)" attribute="1" defaultMemberUniqueName="[Table2].[timestamp (Minute)].[All]" allUniqueName="[Table2].[timestamp (Minute)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timestamp]" caption="Count of timestamp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egment]" caption="Count of Segment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user_id]" caption="Count of user_id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imestamp (Minute)]" caption="Count of timestamp (Minute)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timestamp (Minute)]" caption="Distinct Count of timestamp (Minute)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tep]" caption="Count of step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x v="0"/>
    <x v="0"/>
    <d v="2026-07-20T04:18:00"/>
  </r>
  <r>
    <x v="1"/>
    <x v="0"/>
    <d v="2026-07-20T03:49:00"/>
  </r>
  <r>
    <x v="2"/>
    <x v="1"/>
    <d v="2026-07-20T03:32:00"/>
  </r>
  <r>
    <x v="3"/>
    <x v="1"/>
    <d v="2026-07-20T03:40:00"/>
  </r>
  <r>
    <x v="4"/>
    <x v="1"/>
    <d v="2026-07-20T03:57:00"/>
  </r>
  <r>
    <x v="5"/>
    <x v="1"/>
    <d v="2026-07-20T03:49:00"/>
  </r>
  <r>
    <x v="6"/>
    <x v="1"/>
    <d v="2026-07-20T03:40:00"/>
  </r>
  <r>
    <x v="7"/>
    <x v="2"/>
    <d v="2026-07-20T04:22:00"/>
  </r>
  <r>
    <x v="8"/>
    <x v="1"/>
    <d v="2026-07-20T03:41:00"/>
  </r>
  <r>
    <x v="9"/>
    <x v="0"/>
    <d v="2026-07-20T03:49:00"/>
  </r>
  <r>
    <x v="10"/>
    <x v="1"/>
    <d v="2026-07-20T03:48:00"/>
  </r>
  <r>
    <x v="11"/>
    <x v="0"/>
    <d v="2026-07-20T03:46:00"/>
  </r>
  <r>
    <x v="12"/>
    <x v="1"/>
    <d v="2026-07-20T03:56:00"/>
  </r>
  <r>
    <x v="13"/>
    <x v="0"/>
    <d v="2026-07-20T03:50:00"/>
  </r>
  <r>
    <x v="14"/>
    <x v="0"/>
    <d v="2026-07-20T03:59:00"/>
  </r>
  <r>
    <x v="15"/>
    <x v="1"/>
    <d v="2026-07-20T03:31:00"/>
  </r>
  <r>
    <x v="16"/>
    <x v="0"/>
    <d v="2026-07-20T04:06:00"/>
  </r>
  <r>
    <x v="17"/>
    <x v="0"/>
    <d v="2026-07-20T04:24:00"/>
  </r>
  <r>
    <x v="18"/>
    <x v="0"/>
    <d v="2026-07-20T04:16:00"/>
  </r>
  <r>
    <x v="19"/>
    <x v="1"/>
    <d v="2026-07-20T03:45:00"/>
  </r>
  <r>
    <x v="20"/>
    <x v="3"/>
    <d v="2026-07-20T04:37:00"/>
  </r>
  <r>
    <x v="21"/>
    <x v="0"/>
    <d v="2026-07-20T03:45:00"/>
  </r>
  <r>
    <x v="22"/>
    <x v="0"/>
    <d v="2026-07-20T03:52:00"/>
  </r>
  <r>
    <x v="23"/>
    <x v="1"/>
    <d v="2026-07-20T03:52:00"/>
  </r>
  <r>
    <x v="24"/>
    <x v="0"/>
    <d v="2026-07-20T03:53:00"/>
  </r>
  <r>
    <x v="25"/>
    <x v="1"/>
    <d v="2026-07-20T03:34:00"/>
  </r>
  <r>
    <x v="26"/>
    <x v="3"/>
    <d v="2026-07-20T04:31:00"/>
  </r>
  <r>
    <x v="27"/>
    <x v="1"/>
    <d v="2026-07-20T04:01:00"/>
  </r>
  <r>
    <x v="28"/>
    <x v="0"/>
    <d v="2026-07-20T03:45:00"/>
  </r>
  <r>
    <x v="29"/>
    <x v="3"/>
    <d v="2026-07-20T04:07:00"/>
  </r>
  <r>
    <x v="30"/>
    <x v="0"/>
    <d v="2026-07-20T04:14:00"/>
  </r>
  <r>
    <x v="31"/>
    <x v="3"/>
    <d v="2026-07-20T04:02:00"/>
  </r>
  <r>
    <x v="32"/>
    <x v="4"/>
    <d v="2026-07-20T05:05:00"/>
  </r>
  <r>
    <x v="33"/>
    <x v="3"/>
    <d v="2026-07-20T04:33:00"/>
  </r>
  <r>
    <x v="34"/>
    <x v="2"/>
    <d v="2026-07-20T04:20:00"/>
  </r>
  <r>
    <x v="17"/>
    <x v="2"/>
    <d v="2026-07-20T04:44:00"/>
  </r>
  <r>
    <x v="35"/>
    <x v="1"/>
    <d v="2026-07-20T03:31:00"/>
  </r>
  <r>
    <x v="33"/>
    <x v="1"/>
    <d v="2026-07-20T03:44:00"/>
  </r>
  <r>
    <x v="36"/>
    <x v="1"/>
    <d v="2026-07-20T03:46:00"/>
  </r>
  <r>
    <x v="37"/>
    <x v="1"/>
    <d v="2026-07-20T03:30:00"/>
  </r>
  <r>
    <x v="38"/>
    <x v="2"/>
    <d v="2026-07-20T04:43:00"/>
  </r>
  <r>
    <x v="22"/>
    <x v="3"/>
    <d v="2026-07-20T04:15:00"/>
  </r>
  <r>
    <x v="39"/>
    <x v="0"/>
    <d v="2026-07-20T04:12:00"/>
  </r>
  <r>
    <x v="40"/>
    <x v="1"/>
    <d v="2026-07-20T03:37:00"/>
  </r>
  <r>
    <x v="41"/>
    <x v="1"/>
    <d v="2026-07-20T04:00:00"/>
  </r>
  <r>
    <x v="22"/>
    <x v="1"/>
    <d v="2026-07-20T03:48:00"/>
  </r>
  <r>
    <x v="42"/>
    <x v="3"/>
    <d v="2026-07-20T04:35:00"/>
  </r>
  <r>
    <x v="43"/>
    <x v="3"/>
    <d v="2026-07-20T04:13:00"/>
  </r>
  <r>
    <x v="44"/>
    <x v="1"/>
    <d v="2026-07-20T04:01:00"/>
  </r>
  <r>
    <x v="45"/>
    <x v="1"/>
    <d v="2026-07-20T03:39:00"/>
  </r>
  <r>
    <x v="46"/>
    <x v="3"/>
    <d v="2026-07-20T04:36:00"/>
  </r>
  <r>
    <x v="47"/>
    <x v="3"/>
    <d v="2026-07-20T04:18:00"/>
  </r>
  <r>
    <x v="48"/>
    <x v="2"/>
    <d v="2026-07-20T04:27:00"/>
  </r>
  <r>
    <x v="49"/>
    <x v="2"/>
    <d v="2026-07-20T04:45:00"/>
  </r>
  <r>
    <x v="50"/>
    <x v="3"/>
    <d v="2026-07-20T04:09:00"/>
  </r>
  <r>
    <x v="51"/>
    <x v="1"/>
    <d v="2026-07-20T03:30:00"/>
  </r>
  <r>
    <x v="52"/>
    <x v="0"/>
    <d v="2026-07-20T04:04:00"/>
  </r>
  <r>
    <x v="53"/>
    <x v="0"/>
    <d v="2026-07-20T03:55:00"/>
  </r>
  <r>
    <x v="47"/>
    <x v="1"/>
    <d v="2026-07-20T03:54:00"/>
  </r>
  <r>
    <x v="21"/>
    <x v="3"/>
    <d v="2026-07-20T04:10:00"/>
  </r>
  <r>
    <x v="54"/>
    <x v="0"/>
    <d v="2026-07-20T04:20:00"/>
  </r>
  <r>
    <x v="55"/>
    <x v="1"/>
    <d v="2026-07-20T04:02:00"/>
  </r>
  <r>
    <x v="56"/>
    <x v="3"/>
    <d v="2026-07-20T04:14:00"/>
  </r>
  <r>
    <x v="25"/>
    <x v="0"/>
    <d v="2026-07-20T04:15:00"/>
  </r>
  <r>
    <x v="57"/>
    <x v="0"/>
    <d v="2026-07-20T03:59:00"/>
  </r>
  <r>
    <x v="10"/>
    <x v="0"/>
    <d v="2026-07-20T03:45:00"/>
  </r>
  <r>
    <x v="58"/>
    <x v="0"/>
    <d v="2026-07-20T04:03:00"/>
  </r>
  <r>
    <x v="59"/>
    <x v="3"/>
    <d v="2026-07-20T04:00:00"/>
  </r>
  <r>
    <x v="14"/>
    <x v="2"/>
    <d v="2026-07-20T04:46:00"/>
  </r>
  <r>
    <x v="60"/>
    <x v="2"/>
    <d v="2026-07-20T04:35:00"/>
  </r>
  <r>
    <x v="61"/>
    <x v="0"/>
    <d v="2026-07-20T04:20:00"/>
  </r>
  <r>
    <x v="62"/>
    <x v="3"/>
    <d v="2026-07-20T04:17:00"/>
  </r>
  <r>
    <x v="63"/>
    <x v="0"/>
    <d v="2026-07-20T04:07:00"/>
  </r>
  <r>
    <x v="64"/>
    <x v="3"/>
    <d v="2026-07-20T04:18:00"/>
  </r>
  <r>
    <x v="65"/>
    <x v="3"/>
    <d v="2026-07-20T04:03:00"/>
  </r>
  <r>
    <x v="54"/>
    <x v="1"/>
    <d v="2026-07-20T04:09:00"/>
  </r>
  <r>
    <x v="60"/>
    <x v="0"/>
    <d v="2026-07-20T04:02:00"/>
  </r>
  <r>
    <x v="66"/>
    <x v="1"/>
    <d v="2026-07-20T03:45:00"/>
  </r>
  <r>
    <x v="67"/>
    <x v="0"/>
    <d v="2026-07-20T03:48:00"/>
  </r>
  <r>
    <x v="68"/>
    <x v="1"/>
    <d v="2026-07-20T03:36:00"/>
  </r>
  <r>
    <x v="69"/>
    <x v="4"/>
    <d v="2026-07-20T04:39:00"/>
  </r>
  <r>
    <x v="13"/>
    <x v="3"/>
    <d v="2026-07-20T04:17:00"/>
  </r>
  <r>
    <x v="48"/>
    <x v="0"/>
    <d v="2026-07-20T03:49:00"/>
  </r>
  <r>
    <x v="70"/>
    <x v="0"/>
    <d v="2026-07-20T04:15:00"/>
  </r>
  <r>
    <x v="71"/>
    <x v="0"/>
    <d v="2026-07-20T03:48:00"/>
  </r>
  <r>
    <x v="57"/>
    <x v="1"/>
    <d v="2026-07-20T03:53:00"/>
  </r>
  <r>
    <x v="72"/>
    <x v="3"/>
    <d v="2026-07-20T04:23:00"/>
  </r>
  <r>
    <x v="73"/>
    <x v="3"/>
    <d v="2026-07-20T04:10:00"/>
  </r>
  <r>
    <x v="66"/>
    <x v="0"/>
    <d v="2026-07-20T04:02:00"/>
  </r>
  <r>
    <x v="74"/>
    <x v="3"/>
    <d v="2026-07-20T04:24:00"/>
  </r>
  <r>
    <x v="75"/>
    <x v="3"/>
    <d v="2026-07-20T04:30:00"/>
  </r>
  <r>
    <x v="76"/>
    <x v="2"/>
    <d v="2026-07-20T04:41:00"/>
  </r>
  <r>
    <x v="77"/>
    <x v="0"/>
    <d v="2026-07-20T04:20:00"/>
  </r>
  <r>
    <x v="78"/>
    <x v="3"/>
    <d v="2026-07-20T04:24:00"/>
  </r>
  <r>
    <x v="79"/>
    <x v="1"/>
    <d v="2026-07-20T03:43:00"/>
  </r>
  <r>
    <x v="78"/>
    <x v="1"/>
    <d v="2026-07-20T03:31:00"/>
  </r>
  <r>
    <x v="80"/>
    <x v="1"/>
    <d v="2026-07-20T03:41:00"/>
  </r>
  <r>
    <x v="15"/>
    <x v="0"/>
    <d v="2026-07-20T03:57:00"/>
  </r>
  <r>
    <x v="81"/>
    <x v="1"/>
    <d v="2026-07-20T03:40:00"/>
  </r>
  <r>
    <x v="82"/>
    <x v="1"/>
    <d v="2026-07-20T03:33:00"/>
  </r>
  <r>
    <x v="83"/>
    <x v="0"/>
    <d v="2026-07-20T04:16:00"/>
  </r>
  <r>
    <x v="84"/>
    <x v="2"/>
    <d v="2026-07-20T04:34:00"/>
  </r>
  <r>
    <x v="85"/>
    <x v="0"/>
    <d v="2026-07-20T03:52:00"/>
  </r>
  <r>
    <x v="86"/>
    <x v="1"/>
    <d v="2026-07-20T03:41:00"/>
  </r>
  <r>
    <x v="6"/>
    <x v="3"/>
    <d v="2026-07-20T04:16:00"/>
  </r>
  <r>
    <x v="55"/>
    <x v="2"/>
    <d v="2026-07-20T04:37:00"/>
  </r>
  <r>
    <x v="73"/>
    <x v="1"/>
    <d v="2026-07-20T03:33:00"/>
  </r>
  <r>
    <x v="87"/>
    <x v="4"/>
    <d v="2026-07-20T04:31:00"/>
  </r>
  <r>
    <x v="88"/>
    <x v="0"/>
    <d v="2026-07-20T04:24:00"/>
  </r>
  <r>
    <x v="7"/>
    <x v="1"/>
    <d v="2026-07-20T03:40:00"/>
  </r>
  <r>
    <x v="89"/>
    <x v="0"/>
    <d v="2026-07-20T04:06:00"/>
  </r>
  <r>
    <x v="90"/>
    <x v="0"/>
    <d v="2026-07-20T03:51:00"/>
  </r>
  <r>
    <x v="76"/>
    <x v="0"/>
    <d v="2026-07-20T04:07:00"/>
  </r>
  <r>
    <x v="4"/>
    <x v="3"/>
    <d v="2026-07-20T04:06:00"/>
  </r>
  <r>
    <x v="7"/>
    <x v="0"/>
    <d v="2026-07-20T03:46:00"/>
  </r>
  <r>
    <x v="91"/>
    <x v="1"/>
    <d v="2026-07-20T03:53:00"/>
  </r>
  <r>
    <x v="92"/>
    <x v="1"/>
    <d v="2026-07-20T03:59:00"/>
  </r>
  <r>
    <x v="93"/>
    <x v="1"/>
    <d v="2026-07-20T03:50:00"/>
  </r>
  <r>
    <x v="94"/>
    <x v="3"/>
    <d v="2026-07-20T04:32:00"/>
  </r>
  <r>
    <x v="95"/>
    <x v="1"/>
    <d v="2026-07-20T04:08:00"/>
  </r>
  <r>
    <x v="47"/>
    <x v="0"/>
    <d v="2026-07-20T03:48:00"/>
  </r>
  <r>
    <x v="96"/>
    <x v="2"/>
    <d v="2026-07-20T04:22:00"/>
  </r>
  <r>
    <x v="97"/>
    <x v="4"/>
    <d v="2026-07-20T04:38:00"/>
  </r>
  <r>
    <x v="49"/>
    <x v="1"/>
    <d v="2026-07-20T04:04:00"/>
  </r>
  <r>
    <x v="98"/>
    <x v="1"/>
    <d v="2026-07-20T03:31:00"/>
  </r>
  <r>
    <x v="99"/>
    <x v="3"/>
    <d v="2026-07-20T04:03:00"/>
  </r>
  <r>
    <x v="9"/>
    <x v="2"/>
    <d v="2026-07-20T04:22:00"/>
  </r>
  <r>
    <x v="100"/>
    <x v="3"/>
    <d v="2026-07-20T04:22:00"/>
  </r>
  <r>
    <x v="101"/>
    <x v="3"/>
    <d v="2026-07-20T04:35:00"/>
  </r>
  <r>
    <x v="102"/>
    <x v="3"/>
    <d v="2026-07-20T04:12:00"/>
  </r>
  <r>
    <x v="103"/>
    <x v="4"/>
    <d v="2026-07-20T05:05:00"/>
  </r>
  <r>
    <x v="82"/>
    <x v="0"/>
    <d v="2026-07-20T04:15:00"/>
  </r>
  <r>
    <x v="83"/>
    <x v="1"/>
    <d v="2026-07-20T03:58:00"/>
  </r>
  <r>
    <x v="104"/>
    <x v="1"/>
    <d v="2026-07-20T03:55:00"/>
  </r>
  <r>
    <x v="96"/>
    <x v="1"/>
    <d v="2026-07-20T03:31:00"/>
  </r>
  <r>
    <x v="105"/>
    <x v="0"/>
    <d v="2026-07-20T04:15:00"/>
  </r>
  <r>
    <x v="106"/>
    <x v="1"/>
    <d v="2026-07-20T04:08:00"/>
  </r>
  <r>
    <x v="107"/>
    <x v="0"/>
    <d v="2026-07-20T03:54:00"/>
  </r>
  <r>
    <x v="1"/>
    <x v="1"/>
    <d v="2026-07-20T03:41:00"/>
  </r>
  <r>
    <x v="108"/>
    <x v="2"/>
    <d v="2026-07-20T04:36:00"/>
  </r>
  <r>
    <x v="109"/>
    <x v="4"/>
    <d v="2026-07-20T05:09:00"/>
  </r>
  <r>
    <x v="94"/>
    <x v="0"/>
    <d v="2026-07-20T04:02:00"/>
  </r>
  <r>
    <x v="0"/>
    <x v="2"/>
    <d v="2026-07-20T04:24:00"/>
  </r>
  <r>
    <x v="110"/>
    <x v="3"/>
    <d v="2026-07-20T04:24:00"/>
  </r>
  <r>
    <x v="107"/>
    <x v="1"/>
    <d v="2026-07-20T03:54:00"/>
  </r>
  <r>
    <x v="0"/>
    <x v="1"/>
    <d v="2026-07-20T04:00:00"/>
  </r>
  <r>
    <x v="111"/>
    <x v="0"/>
    <d v="2026-07-20T03:54:00"/>
  </r>
  <r>
    <x v="112"/>
    <x v="1"/>
    <d v="2026-07-20T03:47:00"/>
  </r>
  <r>
    <x v="108"/>
    <x v="0"/>
    <d v="2026-07-20T04:10:00"/>
  </r>
  <r>
    <x v="113"/>
    <x v="0"/>
    <d v="2026-07-20T04:01:00"/>
  </r>
  <r>
    <x v="30"/>
    <x v="3"/>
    <d v="2026-07-20T04:09:00"/>
  </r>
  <r>
    <x v="51"/>
    <x v="0"/>
    <d v="2026-07-20T04:03:00"/>
  </r>
  <r>
    <x v="114"/>
    <x v="0"/>
    <d v="2026-07-20T03:45:00"/>
  </r>
  <r>
    <x v="115"/>
    <x v="1"/>
    <d v="2026-07-20T04:05:00"/>
  </r>
  <r>
    <x v="49"/>
    <x v="0"/>
    <d v="2026-07-20T03:52:00"/>
  </r>
  <r>
    <x v="92"/>
    <x v="3"/>
    <d v="2026-07-20T04:08:00"/>
  </r>
  <r>
    <x v="116"/>
    <x v="0"/>
    <d v="2026-07-20T03:49:00"/>
  </r>
  <r>
    <x v="117"/>
    <x v="0"/>
    <d v="2026-07-20T04:20:00"/>
  </r>
  <r>
    <x v="118"/>
    <x v="0"/>
    <d v="2026-07-20T04:00:00"/>
  </r>
  <r>
    <x v="119"/>
    <x v="0"/>
    <d v="2026-07-20T04:08:00"/>
  </r>
  <r>
    <x v="90"/>
    <x v="1"/>
    <d v="2026-07-20T03:56:00"/>
  </r>
  <r>
    <x v="16"/>
    <x v="1"/>
    <d v="2026-07-20T04:02:00"/>
  </r>
  <r>
    <x v="120"/>
    <x v="1"/>
    <d v="2026-07-20T03:43:00"/>
  </r>
  <r>
    <x v="121"/>
    <x v="0"/>
    <d v="2026-07-20T03:49:00"/>
  </r>
  <r>
    <x v="87"/>
    <x v="1"/>
    <d v="2026-07-20T03:48:00"/>
  </r>
  <r>
    <x v="75"/>
    <x v="1"/>
    <d v="2026-07-20T03:47:00"/>
  </r>
  <r>
    <x v="65"/>
    <x v="0"/>
    <d v="2026-07-20T04:03:00"/>
  </r>
  <r>
    <x v="51"/>
    <x v="3"/>
    <d v="2026-07-20T04:25:00"/>
  </r>
  <r>
    <x v="122"/>
    <x v="1"/>
    <d v="2026-07-20T03:59:00"/>
  </r>
  <r>
    <x v="96"/>
    <x v="0"/>
    <d v="2026-07-20T04:12:00"/>
  </r>
  <r>
    <x v="123"/>
    <x v="0"/>
    <d v="2026-07-20T03:59:00"/>
  </r>
  <r>
    <x v="89"/>
    <x v="2"/>
    <d v="2026-07-20T04:39:00"/>
  </r>
  <r>
    <x v="124"/>
    <x v="2"/>
    <d v="2026-07-20T04:45:00"/>
  </r>
  <r>
    <x v="125"/>
    <x v="3"/>
    <d v="2026-07-20T04:17:00"/>
  </r>
  <r>
    <x v="80"/>
    <x v="0"/>
    <d v="2026-07-20T04:04:00"/>
  </r>
  <r>
    <x v="126"/>
    <x v="1"/>
    <d v="2026-07-20T03:46:00"/>
  </r>
  <r>
    <x v="76"/>
    <x v="1"/>
    <d v="2026-07-20T03:57:00"/>
  </r>
  <r>
    <x v="123"/>
    <x v="3"/>
    <d v="2026-07-20T04:05:00"/>
  </r>
  <r>
    <x v="28"/>
    <x v="1"/>
    <d v="2026-07-20T04:07:00"/>
  </r>
  <r>
    <x v="127"/>
    <x v="4"/>
    <d v="2026-07-20T05:09:00"/>
  </r>
  <r>
    <x v="91"/>
    <x v="3"/>
    <d v="2026-07-20T04:15:00"/>
  </r>
  <r>
    <x v="100"/>
    <x v="1"/>
    <d v="2026-07-20T04:06:00"/>
  </r>
  <r>
    <x v="128"/>
    <x v="3"/>
    <d v="2026-07-20T04:11:00"/>
  </r>
  <r>
    <x v="129"/>
    <x v="1"/>
    <d v="2026-07-20T03:57:00"/>
  </r>
  <r>
    <x v="130"/>
    <x v="0"/>
    <d v="2026-07-20T04:20:00"/>
  </r>
  <r>
    <x v="73"/>
    <x v="0"/>
    <d v="2026-07-20T04:19:00"/>
  </r>
  <r>
    <x v="117"/>
    <x v="2"/>
    <d v="2026-07-20T04:37:00"/>
  </r>
  <r>
    <x v="131"/>
    <x v="1"/>
    <d v="2026-07-20T03:36:00"/>
  </r>
  <r>
    <x v="132"/>
    <x v="2"/>
    <d v="2026-07-20T04:29:00"/>
  </r>
  <r>
    <x v="133"/>
    <x v="1"/>
    <d v="2026-07-20T03:41:00"/>
  </r>
  <r>
    <x v="101"/>
    <x v="1"/>
    <d v="2026-07-20T04:00:00"/>
  </r>
  <r>
    <x v="52"/>
    <x v="1"/>
    <d v="2026-07-20T04:09:00"/>
  </r>
  <r>
    <x v="134"/>
    <x v="3"/>
    <d v="2026-07-20T04:29:00"/>
  </r>
  <r>
    <x v="15"/>
    <x v="3"/>
    <d v="2026-07-20T04:29:00"/>
  </r>
  <r>
    <x v="27"/>
    <x v="3"/>
    <d v="2026-07-20T04:16:00"/>
  </r>
  <r>
    <x v="121"/>
    <x v="2"/>
    <d v="2026-07-20T04:20:00"/>
  </r>
  <r>
    <x v="135"/>
    <x v="1"/>
    <d v="2026-07-20T03:48:00"/>
  </r>
  <r>
    <x v="126"/>
    <x v="3"/>
    <d v="2026-07-20T04:00:00"/>
  </r>
  <r>
    <x v="38"/>
    <x v="0"/>
    <d v="2026-07-20T04:04:00"/>
  </r>
  <r>
    <x v="117"/>
    <x v="1"/>
    <d v="2026-07-20T03:57:00"/>
  </r>
  <r>
    <x v="34"/>
    <x v="0"/>
    <d v="2026-07-20T04:07:00"/>
  </r>
  <r>
    <x v="63"/>
    <x v="1"/>
    <d v="2026-07-20T03:45:00"/>
  </r>
  <r>
    <x v="113"/>
    <x v="3"/>
    <d v="2026-07-20T04:12:00"/>
  </r>
  <r>
    <x v="48"/>
    <x v="1"/>
    <d v="2026-07-20T04:01:00"/>
  </r>
  <r>
    <x v="136"/>
    <x v="0"/>
    <d v="2026-07-20T04:03:00"/>
  </r>
  <r>
    <x v="99"/>
    <x v="0"/>
    <d v="2026-07-20T03:48:00"/>
  </r>
  <r>
    <x v="88"/>
    <x v="1"/>
    <d v="2026-07-20T03:32:00"/>
  </r>
  <r>
    <x v="11"/>
    <x v="4"/>
    <d v="2026-07-20T04:30:00"/>
  </r>
  <r>
    <x v="95"/>
    <x v="0"/>
    <d v="2026-07-20T03:58:00"/>
  </r>
  <r>
    <x v="124"/>
    <x v="0"/>
    <d v="2026-07-20T03:47:00"/>
  </r>
  <r>
    <x v="80"/>
    <x v="3"/>
    <d v="2026-07-20T04:04:00"/>
  </r>
  <r>
    <x v="137"/>
    <x v="0"/>
    <d v="2026-07-20T03:51:00"/>
  </r>
  <r>
    <x v="138"/>
    <x v="3"/>
    <d v="2026-07-20T04:31:00"/>
  </r>
  <r>
    <x v="139"/>
    <x v="0"/>
    <d v="2026-07-20T04:14:00"/>
  </r>
  <r>
    <x v="140"/>
    <x v="1"/>
    <d v="2026-07-20T04:08:00"/>
  </r>
  <r>
    <x v="112"/>
    <x v="3"/>
    <d v="2026-07-20T04:14:00"/>
  </r>
  <r>
    <x v="141"/>
    <x v="0"/>
    <d v="2026-07-20T03:49:00"/>
  </r>
  <r>
    <x v="9"/>
    <x v="1"/>
    <d v="2026-07-20T03:44:00"/>
  </r>
  <r>
    <x v="40"/>
    <x v="0"/>
    <d v="2026-07-20T04:21:00"/>
  </r>
  <r>
    <x v="142"/>
    <x v="0"/>
    <d v="2026-07-20T04:20:00"/>
  </r>
  <r>
    <x v="143"/>
    <x v="3"/>
    <d v="2026-07-20T04:00:00"/>
  </r>
  <r>
    <x v="144"/>
    <x v="0"/>
    <d v="2026-07-20T04:04:00"/>
  </r>
  <r>
    <x v="145"/>
    <x v="0"/>
    <d v="2026-07-20T03:48:00"/>
  </r>
  <r>
    <x v="23"/>
    <x v="0"/>
    <d v="2026-07-20T04:18:00"/>
  </r>
  <r>
    <x v="111"/>
    <x v="1"/>
    <d v="2026-07-20T03:35:00"/>
  </r>
  <r>
    <x v="146"/>
    <x v="0"/>
    <d v="2026-07-20T03:51:00"/>
  </r>
  <r>
    <x v="107"/>
    <x v="2"/>
    <d v="2026-07-20T04:30:00"/>
  </r>
  <r>
    <x v="18"/>
    <x v="2"/>
    <d v="2026-07-20T04:27:00"/>
  </r>
  <r>
    <x v="101"/>
    <x v="0"/>
    <d v="2026-07-20T03:53:00"/>
  </r>
  <r>
    <x v="139"/>
    <x v="1"/>
    <d v="2026-07-20T03:42:00"/>
  </r>
  <r>
    <x v="147"/>
    <x v="1"/>
    <d v="2026-07-20T03:35:00"/>
  </r>
  <r>
    <x v="114"/>
    <x v="1"/>
    <d v="2026-07-20T03:48:00"/>
  </r>
  <r>
    <x v="142"/>
    <x v="1"/>
    <d v="2026-07-20T03:52:00"/>
  </r>
  <r>
    <x v="136"/>
    <x v="1"/>
    <d v="2026-07-20T03:32:00"/>
  </r>
  <r>
    <x v="135"/>
    <x v="4"/>
    <d v="2026-07-20T04:38:00"/>
  </r>
  <r>
    <x v="148"/>
    <x v="1"/>
    <d v="2026-07-20T04:08:00"/>
  </r>
  <r>
    <x v="149"/>
    <x v="0"/>
    <d v="2026-07-20T03:57:00"/>
  </r>
  <r>
    <x v="88"/>
    <x v="3"/>
    <d v="2026-07-20T04:07:00"/>
  </r>
  <r>
    <x v="28"/>
    <x v="4"/>
    <d v="2026-07-20T04:50:00"/>
  </r>
  <r>
    <x v="130"/>
    <x v="2"/>
    <d v="2026-07-20T04:18:00"/>
  </r>
  <r>
    <x v="81"/>
    <x v="0"/>
    <d v="2026-07-20T04:21:00"/>
  </r>
  <r>
    <x v="150"/>
    <x v="0"/>
    <d v="2026-07-20T03:48:00"/>
  </r>
  <r>
    <x v="151"/>
    <x v="1"/>
    <d v="2026-07-20T03:55:00"/>
  </r>
  <r>
    <x v="152"/>
    <x v="1"/>
    <d v="2026-07-20T03:58:00"/>
  </r>
  <r>
    <x v="148"/>
    <x v="0"/>
    <d v="2026-07-20T04:06:00"/>
  </r>
  <r>
    <x v="153"/>
    <x v="1"/>
    <d v="2026-07-20T04:04:00"/>
  </r>
  <r>
    <x v="43"/>
    <x v="0"/>
    <d v="2026-07-20T04:14:00"/>
  </r>
  <r>
    <x v="154"/>
    <x v="1"/>
    <d v="2026-07-20T04:08:00"/>
  </r>
  <r>
    <x v="153"/>
    <x v="0"/>
    <d v="2026-07-20T04:12:00"/>
  </r>
  <r>
    <x v="155"/>
    <x v="1"/>
    <d v="2026-07-20T03:59:00"/>
  </r>
  <r>
    <x v="156"/>
    <x v="1"/>
    <d v="2026-07-20T03:41:00"/>
  </r>
  <r>
    <x v="102"/>
    <x v="0"/>
    <d v="2026-07-20T04:20:00"/>
  </r>
  <r>
    <x v="66"/>
    <x v="2"/>
    <d v="2026-07-20T04:38:00"/>
  </r>
  <r>
    <x v="157"/>
    <x v="0"/>
    <d v="2026-07-20T04:08:00"/>
  </r>
  <r>
    <x v="158"/>
    <x v="0"/>
    <d v="2026-07-20T04:01:00"/>
  </r>
  <r>
    <x v="140"/>
    <x v="4"/>
    <d v="2026-07-20T04:44:00"/>
  </r>
  <r>
    <x v="139"/>
    <x v="2"/>
    <d v="2026-07-20T04:43:00"/>
  </r>
  <r>
    <x v="82"/>
    <x v="2"/>
    <d v="2026-07-20T04:48:00"/>
  </r>
  <r>
    <x v="90"/>
    <x v="3"/>
    <d v="2026-07-20T04:35:00"/>
  </r>
  <r>
    <x v="36"/>
    <x v="3"/>
    <d v="2026-07-20T04:16:00"/>
  </r>
  <r>
    <x v="159"/>
    <x v="1"/>
    <d v="2026-07-20T03:39:00"/>
  </r>
  <r>
    <x v="84"/>
    <x v="0"/>
    <d v="2026-07-20T03:46:00"/>
  </r>
  <r>
    <x v="132"/>
    <x v="0"/>
    <d v="2026-07-20T03:45:00"/>
  </r>
  <r>
    <x v="53"/>
    <x v="4"/>
    <d v="2026-07-20T04:57:00"/>
  </r>
  <r>
    <x v="160"/>
    <x v="1"/>
    <d v="2026-07-20T03:32:00"/>
  </r>
  <r>
    <x v="157"/>
    <x v="4"/>
    <d v="2026-07-20T04:34:00"/>
  </r>
  <r>
    <x v="17"/>
    <x v="1"/>
    <d v="2026-07-20T03:43:00"/>
  </r>
  <r>
    <x v="161"/>
    <x v="0"/>
    <d v="2026-07-20T03:50:00"/>
  </r>
  <r>
    <x v="162"/>
    <x v="0"/>
    <d v="2026-07-20T04:15:00"/>
  </r>
  <r>
    <x v="113"/>
    <x v="1"/>
    <d v="2026-07-20T03:34:00"/>
  </r>
  <r>
    <x v="163"/>
    <x v="1"/>
    <d v="2026-07-20T03:52:00"/>
  </r>
  <r>
    <x v="141"/>
    <x v="1"/>
    <d v="2026-07-20T03:35:00"/>
  </r>
  <r>
    <x v="164"/>
    <x v="1"/>
    <d v="2026-07-20T03:53:00"/>
  </r>
  <r>
    <x v="165"/>
    <x v="0"/>
    <d v="2026-07-20T03:47:00"/>
  </r>
  <r>
    <x v="157"/>
    <x v="1"/>
    <d v="2026-07-20T03:37:00"/>
  </r>
  <r>
    <x v="102"/>
    <x v="1"/>
    <d v="2026-07-20T03:51:00"/>
  </r>
  <r>
    <x v="166"/>
    <x v="2"/>
    <d v="2026-07-20T04:22:00"/>
  </r>
  <r>
    <x v="24"/>
    <x v="1"/>
    <d v="2026-07-20T03:58:00"/>
  </r>
  <r>
    <x v="133"/>
    <x v="0"/>
    <d v="2026-07-20T04:06:00"/>
  </r>
  <r>
    <x v="167"/>
    <x v="1"/>
    <d v="2026-07-20T03:54:00"/>
  </r>
  <r>
    <x v="62"/>
    <x v="1"/>
    <d v="2026-07-20T03:48:00"/>
  </r>
  <r>
    <x v="168"/>
    <x v="1"/>
    <d v="2026-07-20T03:39:00"/>
  </r>
  <r>
    <x v="169"/>
    <x v="4"/>
    <d v="2026-07-20T04:38:00"/>
  </r>
  <r>
    <x v="170"/>
    <x v="4"/>
    <d v="2026-07-20T04:52:00"/>
  </r>
  <r>
    <x v="171"/>
    <x v="3"/>
    <d v="2026-07-20T04:02:00"/>
  </r>
  <r>
    <x v="172"/>
    <x v="4"/>
    <d v="2026-07-20T04:53:00"/>
  </r>
  <r>
    <x v="173"/>
    <x v="1"/>
    <d v="2026-07-20T03:48:00"/>
  </r>
  <r>
    <x v="155"/>
    <x v="4"/>
    <d v="2026-07-20T05:02:00"/>
  </r>
  <r>
    <x v="136"/>
    <x v="2"/>
    <d v="2026-07-20T04:26:00"/>
  </r>
  <r>
    <x v="137"/>
    <x v="1"/>
    <d v="2026-07-20T04:03:00"/>
  </r>
  <r>
    <x v="68"/>
    <x v="0"/>
    <d v="2026-07-20T04:07:00"/>
  </r>
  <r>
    <x v="174"/>
    <x v="0"/>
    <d v="2026-07-20T03:49:00"/>
  </r>
  <r>
    <x v="29"/>
    <x v="1"/>
    <d v="2026-07-20T04:05:00"/>
  </r>
  <r>
    <x v="171"/>
    <x v="1"/>
    <d v="2026-07-20T03:47:00"/>
  </r>
  <r>
    <x v="166"/>
    <x v="1"/>
    <d v="2026-07-20T04:02:00"/>
  </r>
  <r>
    <x v="25"/>
    <x v="2"/>
    <d v="2026-07-20T04:44:00"/>
  </r>
  <r>
    <x v="77"/>
    <x v="1"/>
    <d v="2026-07-20T03:39:00"/>
  </r>
  <r>
    <x v="158"/>
    <x v="2"/>
    <d v="2026-07-20T04:39:00"/>
  </r>
  <r>
    <x v="94"/>
    <x v="1"/>
    <d v="2026-07-20T03:56:00"/>
  </r>
  <r>
    <x v="105"/>
    <x v="1"/>
    <d v="2026-07-20T03:35:00"/>
  </r>
  <r>
    <x v="13"/>
    <x v="1"/>
    <d v="2026-07-20T03:43:00"/>
  </r>
  <r>
    <x v="143"/>
    <x v="1"/>
    <d v="2026-07-20T03:44:00"/>
  </r>
  <r>
    <x v="71"/>
    <x v="1"/>
    <d v="2026-07-20T03:30:00"/>
  </r>
  <r>
    <x v="61"/>
    <x v="2"/>
    <d v="2026-07-20T04:23:00"/>
  </r>
  <r>
    <x v="175"/>
    <x v="3"/>
    <d v="2026-07-20T04:12:00"/>
  </r>
  <r>
    <x v="55"/>
    <x v="0"/>
    <d v="2026-07-20T04:12:00"/>
  </r>
  <r>
    <x v="176"/>
    <x v="1"/>
    <d v="2026-07-20T04:09:00"/>
  </r>
  <r>
    <x v="172"/>
    <x v="0"/>
    <d v="2026-07-20T04:12:00"/>
  </r>
  <r>
    <x v="115"/>
    <x v="0"/>
    <d v="2026-07-20T04:09:00"/>
  </r>
  <r>
    <x v="177"/>
    <x v="3"/>
    <d v="2026-07-20T04:12:00"/>
  </r>
  <r>
    <x v="32"/>
    <x v="0"/>
    <d v="2026-07-20T04:12:00"/>
  </r>
  <r>
    <x v="177"/>
    <x v="1"/>
    <d v="2026-07-20T04:02:00"/>
  </r>
  <r>
    <x v="156"/>
    <x v="0"/>
    <d v="2026-07-20T03:55:00"/>
  </r>
  <r>
    <x v="126"/>
    <x v="0"/>
    <d v="2026-07-20T03:47:00"/>
  </r>
  <r>
    <x v="178"/>
    <x v="4"/>
    <d v="2026-07-20T05:01:00"/>
  </r>
  <r>
    <x v="44"/>
    <x v="4"/>
    <d v="2026-07-20T05:07:00"/>
  </r>
  <r>
    <x v="74"/>
    <x v="1"/>
    <d v="2026-07-20T03:57:00"/>
  </r>
  <r>
    <x v="175"/>
    <x v="1"/>
    <d v="2026-07-20T04:00:00"/>
  </r>
  <r>
    <x v="56"/>
    <x v="0"/>
    <d v="2026-07-20T04:04:00"/>
  </r>
  <r>
    <x v="10"/>
    <x v="2"/>
    <d v="2026-07-20T04:30:00"/>
  </r>
  <r>
    <x v="52"/>
    <x v="3"/>
    <d v="2026-07-20T04:03:00"/>
  </r>
  <r>
    <x v="11"/>
    <x v="1"/>
    <d v="2026-07-20T03:35:00"/>
  </r>
  <r>
    <x v="65"/>
    <x v="1"/>
    <d v="2026-07-20T03:32:00"/>
  </r>
  <r>
    <x v="43"/>
    <x v="1"/>
    <d v="2026-07-20T03:33:00"/>
  </r>
  <r>
    <x v="162"/>
    <x v="1"/>
    <d v="2026-07-20T04:01:00"/>
  </r>
  <r>
    <x v="35"/>
    <x v="0"/>
    <d v="2026-07-20T03:48:00"/>
  </r>
  <r>
    <x v="44"/>
    <x v="0"/>
    <d v="2026-07-20T04:22:00"/>
  </r>
  <r>
    <x v="153"/>
    <x v="2"/>
    <d v="2026-07-20T04:21:00"/>
  </r>
  <r>
    <x v="98"/>
    <x v="3"/>
    <d v="2026-07-20T04:02:00"/>
  </r>
  <r>
    <x v="60"/>
    <x v="1"/>
    <d v="2026-07-20T03:56:00"/>
  </r>
  <r>
    <x v="179"/>
    <x v="1"/>
    <d v="2026-07-20T04:00:00"/>
  </r>
  <r>
    <x v="127"/>
    <x v="0"/>
    <d v="2026-07-20T03:54:00"/>
  </r>
  <r>
    <x v="58"/>
    <x v="1"/>
    <d v="2026-07-20T04:09:00"/>
  </r>
  <r>
    <x v="180"/>
    <x v="0"/>
    <d v="2026-07-20T03:53:00"/>
  </r>
  <r>
    <x v="161"/>
    <x v="1"/>
    <d v="2026-07-20T03:36:00"/>
  </r>
  <r>
    <x v="178"/>
    <x v="1"/>
    <d v="2026-07-20T03:30:00"/>
  </r>
  <r>
    <x v="5"/>
    <x v="3"/>
    <d v="2026-07-20T04:29:00"/>
  </r>
  <r>
    <x v="181"/>
    <x v="1"/>
    <d v="2026-07-20T03:55:00"/>
  </r>
  <r>
    <x v="169"/>
    <x v="0"/>
    <d v="2026-07-20T03:49:00"/>
  </r>
  <r>
    <x v="34"/>
    <x v="1"/>
    <d v="2026-07-20T04:04:00"/>
  </r>
  <r>
    <x v="140"/>
    <x v="0"/>
    <d v="2026-07-20T03:55:00"/>
  </r>
  <r>
    <x v="163"/>
    <x v="0"/>
    <d v="2026-07-20T04:23:00"/>
  </r>
  <r>
    <x v="148"/>
    <x v="2"/>
    <d v="2026-07-20T04:51:00"/>
  </r>
  <r>
    <x v="145"/>
    <x v="1"/>
    <d v="2026-07-20T04:02:00"/>
  </r>
  <r>
    <x v="182"/>
    <x v="1"/>
    <d v="2026-07-20T03:52:00"/>
  </r>
  <r>
    <x v="86"/>
    <x v="0"/>
    <d v="2026-07-20T03:55:00"/>
  </r>
  <r>
    <x v="71"/>
    <x v="2"/>
    <d v="2026-07-20T04:20:00"/>
  </r>
  <r>
    <x v="91"/>
    <x v="0"/>
    <d v="2026-07-20T04:00:00"/>
  </r>
  <r>
    <x v="146"/>
    <x v="3"/>
    <d v="2026-07-20T04:33:00"/>
  </r>
  <r>
    <x v="85"/>
    <x v="2"/>
    <d v="2026-07-20T04:36:00"/>
  </r>
  <r>
    <x v="183"/>
    <x v="3"/>
    <d v="2026-07-20T04:14:00"/>
  </r>
  <r>
    <x v="144"/>
    <x v="3"/>
    <d v="2026-07-20T04:31:00"/>
  </r>
  <r>
    <x v="142"/>
    <x v="2"/>
    <d v="2026-07-20T04:17:00"/>
  </r>
  <r>
    <x v="180"/>
    <x v="4"/>
    <d v="2026-07-20T04:43:00"/>
  </r>
  <r>
    <x v="162"/>
    <x v="4"/>
    <d v="2026-07-20T04:43:00"/>
  </r>
  <r>
    <x v="92"/>
    <x v="0"/>
    <d v="2026-07-20T04:17:00"/>
  </r>
  <r>
    <x v="184"/>
    <x v="4"/>
    <d v="2026-07-20T04:45:00"/>
  </r>
  <r>
    <x v="125"/>
    <x v="1"/>
    <d v="2026-07-20T03:55:00"/>
  </r>
  <r>
    <x v="123"/>
    <x v="1"/>
    <d v="2026-07-20T03:55:00"/>
  </r>
  <r>
    <x v="31"/>
    <x v="1"/>
    <d v="2026-07-20T04:07:00"/>
  </r>
  <r>
    <x v="185"/>
    <x v="3"/>
    <d v="2026-07-20T04:25:00"/>
  </r>
  <r>
    <x v="61"/>
    <x v="1"/>
    <d v="2026-07-20T03:55:00"/>
  </r>
  <r>
    <x v="186"/>
    <x v="1"/>
    <d v="2026-07-20T03:33:00"/>
  </r>
  <r>
    <x v="20"/>
    <x v="1"/>
    <d v="2026-07-20T04:09:00"/>
  </r>
  <r>
    <x v="170"/>
    <x v="1"/>
    <d v="2026-07-20T03:45:00"/>
  </r>
  <r>
    <x v="21"/>
    <x v="1"/>
    <d v="2026-07-20T03:58:00"/>
  </r>
  <r>
    <x v="110"/>
    <x v="1"/>
    <d v="2026-07-20T03:49:00"/>
  </r>
  <r>
    <x v="39"/>
    <x v="3"/>
    <d v="2026-07-20T04:35:00"/>
  </r>
  <r>
    <x v="30"/>
    <x v="1"/>
    <d v="2026-07-20T03:34:00"/>
  </r>
  <r>
    <x v="168"/>
    <x v="3"/>
    <d v="2026-07-20T04:05:00"/>
  </r>
  <r>
    <x v="187"/>
    <x v="0"/>
    <d v="2026-07-20T04:05:00"/>
  </r>
  <r>
    <x v="37"/>
    <x v="0"/>
    <d v="2026-07-20T04:24:00"/>
  </r>
  <r>
    <x v="16"/>
    <x v="2"/>
    <d v="2026-07-20T04:38:00"/>
  </r>
  <r>
    <x v="180"/>
    <x v="1"/>
    <d v="2026-07-20T03:57:00"/>
  </r>
  <r>
    <x v="188"/>
    <x v="1"/>
    <d v="2026-07-20T04:07:00"/>
  </r>
  <r>
    <x v="184"/>
    <x v="0"/>
    <d v="2026-07-20T04:11:00"/>
  </r>
  <r>
    <x v="147"/>
    <x v="3"/>
    <d v="2026-07-20T04:14:00"/>
  </r>
  <r>
    <x v="152"/>
    <x v="0"/>
    <d v="2026-07-20T04:00:00"/>
  </r>
  <r>
    <x v="159"/>
    <x v="0"/>
    <d v="2026-07-20T04:24:00"/>
  </r>
  <r>
    <x v="161"/>
    <x v="2"/>
    <d v="2026-07-20T04:44:00"/>
  </r>
  <r>
    <x v="33"/>
    <x v="0"/>
    <d v="2026-07-20T03:51:00"/>
  </r>
  <r>
    <x v="26"/>
    <x v="1"/>
    <d v="2026-07-20T03:32:00"/>
  </r>
  <r>
    <x v="24"/>
    <x v="4"/>
    <d v="2026-07-20T04:35:00"/>
  </r>
  <r>
    <x v="166"/>
    <x v="0"/>
    <d v="2026-07-20T04:01:00"/>
  </r>
  <r>
    <x v="116"/>
    <x v="2"/>
    <d v="2026-07-20T04:52:00"/>
  </r>
  <r>
    <x v="93"/>
    <x v="3"/>
    <d v="2026-07-20T04:36:00"/>
  </r>
  <r>
    <x v="40"/>
    <x v="2"/>
    <d v="2026-07-20T04:24:00"/>
  </r>
  <r>
    <x v="189"/>
    <x v="0"/>
    <d v="2026-07-20T04:13:00"/>
  </r>
  <r>
    <x v="64"/>
    <x v="1"/>
    <d v="2026-07-20T03:48:00"/>
  </r>
  <r>
    <x v="27"/>
    <x v="0"/>
    <d v="2026-07-20T04:04:00"/>
  </r>
  <r>
    <x v="146"/>
    <x v="1"/>
    <d v="2026-07-20T04:09:00"/>
  </r>
  <r>
    <x v="190"/>
    <x v="4"/>
    <d v="2026-07-20T04:58:00"/>
  </r>
  <r>
    <x v="12"/>
    <x v="0"/>
    <d v="2026-07-20T04:06:00"/>
  </r>
  <r>
    <x v="59"/>
    <x v="1"/>
    <d v="2026-07-20T04:06:00"/>
  </r>
  <r>
    <x v="111"/>
    <x v="2"/>
    <d v="2026-07-20T04:47:00"/>
  </r>
  <r>
    <x v="189"/>
    <x v="1"/>
    <d v="2026-07-20T04:03:00"/>
  </r>
  <r>
    <x v="173"/>
    <x v="3"/>
    <d v="2026-07-20T04:20:00"/>
  </r>
  <r>
    <x v="114"/>
    <x v="4"/>
    <d v="2026-07-20T04:42:00"/>
  </r>
  <r>
    <x v="62"/>
    <x v="0"/>
    <d v="2026-07-20T03:49:00"/>
  </r>
  <r>
    <x v="191"/>
    <x v="1"/>
    <d v="2026-07-20T04:06:00"/>
  </r>
  <r>
    <x v="108"/>
    <x v="1"/>
    <d v="2026-07-20T03:58:00"/>
  </r>
  <r>
    <x v="122"/>
    <x v="0"/>
    <d v="2026-07-20T04:22:00"/>
  </r>
  <r>
    <x v="118"/>
    <x v="2"/>
    <d v="2026-07-20T04:18:00"/>
  </r>
  <r>
    <x v="2"/>
    <x v="0"/>
    <d v="2026-07-20T04:08:00"/>
  </r>
  <r>
    <x v="169"/>
    <x v="1"/>
    <d v="2026-07-20T04:07:00"/>
  </r>
  <r>
    <x v="2"/>
    <x v="3"/>
    <d v="2026-07-20T04:05:00"/>
  </r>
  <r>
    <x v="42"/>
    <x v="1"/>
    <d v="2026-07-20T03:54:00"/>
  </r>
  <r>
    <x v="38"/>
    <x v="1"/>
    <d v="2026-07-20T03:43:00"/>
  </r>
  <r>
    <x v="192"/>
    <x v="4"/>
    <d v="2026-07-20T04:54:00"/>
  </r>
  <r>
    <x v="164"/>
    <x v="3"/>
    <d v="2026-07-20T04:39:00"/>
  </r>
  <r>
    <x v="12"/>
    <x v="3"/>
    <d v="2026-07-20T04:38:00"/>
  </r>
  <r>
    <x v="93"/>
    <x v="0"/>
    <d v="2026-07-20T04:24:00"/>
  </r>
  <r>
    <x v="193"/>
    <x v="3"/>
    <d v="2026-07-20T04:33:00"/>
  </r>
  <r>
    <x v="134"/>
    <x v="0"/>
    <d v="2026-07-20T04:10:00"/>
  </r>
  <r>
    <x v="86"/>
    <x v="3"/>
    <d v="2026-07-20T04:25:00"/>
  </r>
  <r>
    <x v="124"/>
    <x v="1"/>
    <d v="2026-07-20T04:06:00"/>
  </r>
  <r>
    <x v="69"/>
    <x v="0"/>
    <d v="2026-07-20T03:47:00"/>
  </r>
  <r>
    <x v="194"/>
    <x v="4"/>
    <d v="2026-07-20T05:05:00"/>
  </r>
  <r>
    <x v="159"/>
    <x v="4"/>
    <d v="2026-07-20T04:33:00"/>
  </r>
  <r>
    <x v="104"/>
    <x v="3"/>
    <d v="2026-07-20T04:16:00"/>
  </r>
  <r>
    <x v="167"/>
    <x v="0"/>
    <d v="2026-07-20T03:45:00"/>
  </r>
  <r>
    <x v="130"/>
    <x v="1"/>
    <d v="2026-07-20T04:03:00"/>
  </r>
  <r>
    <x v="68"/>
    <x v="4"/>
    <d v="2026-07-20T05:07:00"/>
  </r>
  <r>
    <x v="67"/>
    <x v="1"/>
    <d v="2026-07-20T03:39:00"/>
  </r>
  <r>
    <x v="164"/>
    <x v="0"/>
    <d v="2026-07-20T04:13:00"/>
  </r>
  <r>
    <x v="194"/>
    <x v="0"/>
    <d v="2026-07-20T04:09:00"/>
  </r>
  <r>
    <x v="89"/>
    <x v="1"/>
    <d v="2026-07-20T03:55:00"/>
  </r>
  <r>
    <x v="193"/>
    <x v="1"/>
    <d v="2026-07-20T03:44:00"/>
  </r>
  <r>
    <x v="103"/>
    <x v="0"/>
    <d v="2026-07-20T03:46:00"/>
  </r>
  <r>
    <x v="158"/>
    <x v="1"/>
    <d v="2026-07-20T03:44:00"/>
  </r>
  <r>
    <x v="72"/>
    <x v="1"/>
    <d v="2026-07-20T03:56:00"/>
  </r>
  <r>
    <x v="4"/>
    <x v="0"/>
    <d v="2026-07-20T03:56:00"/>
  </r>
  <r>
    <x v="134"/>
    <x v="1"/>
    <d v="2026-07-20T03:42:00"/>
  </r>
  <r>
    <x v="116"/>
    <x v="1"/>
    <d v="2026-07-20T04:03:00"/>
  </r>
  <r>
    <x v="155"/>
    <x v="0"/>
    <d v="2026-07-20T03:56:00"/>
  </r>
  <r>
    <x v="109"/>
    <x v="0"/>
    <d v="2026-07-20T03:49:00"/>
  </r>
  <r>
    <x v="72"/>
    <x v="0"/>
    <d v="2026-07-20T04:07:00"/>
  </r>
  <r>
    <x v="129"/>
    <x v="3"/>
    <d v="2026-07-20T04:38:00"/>
  </r>
  <r>
    <x v="137"/>
    <x v="2"/>
    <d v="2026-07-20T04:28:00"/>
  </r>
  <r>
    <x v="195"/>
    <x v="0"/>
    <d v="2026-07-20T03:48:00"/>
  </r>
  <r>
    <x v="165"/>
    <x v="1"/>
    <d v="2026-07-20T03:42:00"/>
  </r>
  <r>
    <x v="191"/>
    <x v="3"/>
    <d v="2026-07-20T04:36:00"/>
  </r>
  <r>
    <x v="196"/>
    <x v="3"/>
    <d v="2026-07-20T04:35:00"/>
  </r>
  <r>
    <x v="197"/>
    <x v="1"/>
    <d v="2026-07-20T04:02:00"/>
  </r>
  <r>
    <x v="84"/>
    <x v="1"/>
    <d v="2026-07-20T03:31:00"/>
  </r>
  <r>
    <x v="198"/>
    <x v="1"/>
    <d v="2026-07-20T03:49:00"/>
  </r>
  <r>
    <x v="150"/>
    <x v="1"/>
    <d v="2026-07-20T04:06:00"/>
  </r>
  <r>
    <x v="150"/>
    <x v="2"/>
    <d v="2026-07-20T04:33:00"/>
  </r>
  <r>
    <x v="99"/>
    <x v="1"/>
    <d v="2026-07-20T03:33:00"/>
  </r>
  <r>
    <x v="106"/>
    <x v="3"/>
    <d v="2026-07-20T04:19:00"/>
  </r>
  <r>
    <x v="131"/>
    <x v="0"/>
    <d v="2026-07-20T03:48:00"/>
  </r>
  <r>
    <x v="119"/>
    <x v="1"/>
    <d v="2026-07-20T03:43:00"/>
  </r>
  <r>
    <x v="199"/>
    <x v="1"/>
    <d v="2026-07-20T03:43:00"/>
  </r>
  <r>
    <x v="32"/>
    <x v="1"/>
    <d v="2026-07-20T03:49:00"/>
  </r>
  <r>
    <x v="144"/>
    <x v="1"/>
    <d v="2026-07-20T03:32:00"/>
  </r>
  <r>
    <x v="198"/>
    <x v="4"/>
    <d v="2026-07-20T04:55:00"/>
  </r>
  <r>
    <x v="187"/>
    <x v="1"/>
    <d v="2026-07-20T03:46:00"/>
  </r>
  <r>
    <x v="87"/>
    <x v="0"/>
    <d v="2026-07-20T04:20:00"/>
  </r>
  <r>
    <x v="163"/>
    <x v="4"/>
    <d v="2026-07-20T04:42:00"/>
  </r>
  <r>
    <x v="77"/>
    <x v="2"/>
    <d v="2026-07-20T04:40:00"/>
  </r>
  <r>
    <x v="18"/>
    <x v="1"/>
    <d v="2026-07-20T03:35:00"/>
  </r>
  <r>
    <x v="63"/>
    <x v="3"/>
    <d v="2026-07-20T04:28:00"/>
  </r>
  <r>
    <x v="141"/>
    <x v="3"/>
    <d v="2026-07-20T04:02:00"/>
  </r>
  <r>
    <x v="39"/>
    <x v="1"/>
    <d v="2026-07-20T03:48:00"/>
  </r>
  <r>
    <x v="81"/>
    <x v="2"/>
    <d v="2026-07-20T04:45:00"/>
  </r>
  <r>
    <x v="85"/>
    <x v="1"/>
    <d v="2026-07-20T04:04:00"/>
  </r>
  <r>
    <x v="192"/>
    <x v="0"/>
    <d v="2026-07-20T04:16:00"/>
  </r>
  <r>
    <x v="149"/>
    <x v="1"/>
    <d v="2026-07-20T03:34:00"/>
  </r>
  <r>
    <x v="190"/>
    <x v="0"/>
    <d v="2026-07-20T04:13:00"/>
  </r>
  <r>
    <x v="198"/>
    <x v="0"/>
    <d v="2026-07-20T03:49:00"/>
  </r>
  <r>
    <x v="128"/>
    <x v="1"/>
    <d v="2026-07-20T03:36:00"/>
  </r>
  <r>
    <x v="132"/>
    <x v="1"/>
    <d v="2026-07-20T04:05:00"/>
  </r>
  <r>
    <x v="183"/>
    <x v="1"/>
    <d v="2026-07-20T03:59:00"/>
  </r>
  <r>
    <x v="46"/>
    <x v="1"/>
    <d v="2026-07-20T03:39:00"/>
  </r>
  <r>
    <x v="194"/>
    <x v="1"/>
    <d v="2026-07-20T04:03:00"/>
  </r>
  <r>
    <x v="121"/>
    <x v="1"/>
    <d v="2026-07-20T03:51:00"/>
  </r>
  <r>
    <x v="103"/>
    <x v="1"/>
    <d v="2026-07-20T03:44:00"/>
  </r>
  <r>
    <x v="50"/>
    <x v="1"/>
    <d v="2026-07-20T03:44:00"/>
  </r>
  <r>
    <x v="185"/>
    <x v="1"/>
    <d v="2026-07-20T03:36:00"/>
  </r>
  <r>
    <x v="151"/>
    <x v="4"/>
    <d v="2026-07-20T05:02:00"/>
  </r>
  <r>
    <x v="172"/>
    <x v="1"/>
    <d v="2026-07-20T04:01:00"/>
  </r>
  <r>
    <x v="14"/>
    <x v="1"/>
    <d v="2026-07-20T04:01:00"/>
  </r>
  <r>
    <x v="174"/>
    <x v="1"/>
    <d v="2026-07-20T03:56:00"/>
  </r>
  <r>
    <x v="133"/>
    <x v="3"/>
    <d v="2026-07-20T04:09:00"/>
  </r>
  <r>
    <x v="53"/>
    <x v="1"/>
    <d v="2026-07-20T03:57:00"/>
  </r>
  <r>
    <x v="154"/>
    <x v="4"/>
    <d v="2026-07-20T04:54:00"/>
  </r>
  <r>
    <x v="195"/>
    <x v="1"/>
    <d v="2026-07-20T03:53:00"/>
  </r>
  <r>
    <x v="160"/>
    <x v="0"/>
    <d v="2026-07-20T03:55:00"/>
  </r>
  <r>
    <x v="154"/>
    <x v="0"/>
    <d v="2026-07-20T04:05:00"/>
  </r>
  <r>
    <x v="170"/>
    <x v="0"/>
    <d v="2026-07-20T04:03:00"/>
  </r>
  <r>
    <x v="174"/>
    <x v="2"/>
    <d v="2026-07-20T04:39:00"/>
  </r>
  <r>
    <x v="56"/>
    <x v="1"/>
    <d v="2026-07-20T03:56:00"/>
  </r>
  <r>
    <x v="199"/>
    <x v="3"/>
    <d v="2026-07-20T04:34:00"/>
  </r>
  <r>
    <x v="58"/>
    <x v="3"/>
    <d v="2026-07-20T04:13:00"/>
  </r>
  <r>
    <x v="45"/>
    <x v="3"/>
    <d v="2026-07-20T04:32:00"/>
  </r>
  <r>
    <x v="97"/>
    <x v="0"/>
    <d v="2026-07-20T04:24:00"/>
  </r>
  <r>
    <x v="70"/>
    <x v="1"/>
    <d v="2026-07-20T04:05:00"/>
  </r>
  <r>
    <x v="178"/>
    <x v="0"/>
    <d v="2026-07-20T03:50:00"/>
  </r>
  <r>
    <x v="70"/>
    <x v="3"/>
    <d v="2026-07-20T04:08:00"/>
  </r>
  <r>
    <x v="192"/>
    <x v="1"/>
    <d v="2026-07-20T03:49:00"/>
  </r>
  <r>
    <x v="119"/>
    <x v="2"/>
    <d v="2026-07-20T04:22:00"/>
  </r>
  <r>
    <x v="149"/>
    <x v="2"/>
    <d v="2026-07-20T04:17:00"/>
  </r>
  <r>
    <x v="145"/>
    <x v="2"/>
    <d v="2026-07-20T04:21:00"/>
  </r>
  <r>
    <x v="135"/>
    <x v="0"/>
    <d v="2026-07-20T03:53:00"/>
  </r>
  <r>
    <x v="196"/>
    <x v="1"/>
    <d v="2026-07-20T03:57:00"/>
  </r>
  <r>
    <x v="151"/>
    <x v="0"/>
    <d v="2026-07-20T04:16:00"/>
  </r>
  <r>
    <x v="190"/>
    <x v="1"/>
    <d v="2026-07-20T04:02:00"/>
  </r>
  <r>
    <x v="184"/>
    <x v="1"/>
    <d v="2026-07-20T03:35:00"/>
  </r>
  <r>
    <x v="83"/>
    <x v="4"/>
    <d v="2026-07-20T04:41:00"/>
  </r>
  <r>
    <x v="152"/>
    <x v="3"/>
    <d v="2026-07-20T04:36:00"/>
  </r>
  <r>
    <x v="97"/>
    <x v="1"/>
    <d v="2026-07-20T03:47:00"/>
  </r>
  <r>
    <x v="3"/>
    <x v="0"/>
    <d v="2026-07-20T03:54:00"/>
  </r>
  <r>
    <x v="69"/>
    <x v="1"/>
    <d v="2026-07-20T04:01:00"/>
  </r>
  <r>
    <x v="160"/>
    <x v="4"/>
    <d v="2026-07-20T04:41:00"/>
  </r>
  <r>
    <x v="127"/>
    <x v="1"/>
    <d v="2026-07-20T03:57:00"/>
  </r>
  <r>
    <x v="1"/>
    <x v="3"/>
    <d v="2026-07-20T04:35:00"/>
  </r>
  <r>
    <x v="195"/>
    <x v="4"/>
    <d v="2026-07-20T04:55:00"/>
  </r>
  <r>
    <x v="109"/>
    <x v="1"/>
    <d v="2026-07-20T03:53:00"/>
  </r>
  <r>
    <x v="118"/>
    <x v="1"/>
    <d v="2026-07-20T04:06:00"/>
  </r>
  <r>
    <x v="188"/>
    <x v="3"/>
    <d v="2026-07-20T04:27:00"/>
  </r>
  <r>
    <x v="167"/>
    <x v="4"/>
    <d v="2026-07-20T04:54:00"/>
  </r>
  <r>
    <x v="41"/>
    <x v="3"/>
    <d v="2026-07-20T04:38:00"/>
  </r>
  <r>
    <x v="35"/>
    <x v="4"/>
    <d v="2026-07-20T04:31:00"/>
  </r>
  <r>
    <x v="79"/>
    <x v="0"/>
    <d v="2026-07-20T03:59:00"/>
  </r>
  <r>
    <x v="181"/>
    <x v="3"/>
    <d v="2026-07-20T04:33:00"/>
  </r>
  <r>
    <x v="176"/>
    <x v="3"/>
    <d v="2026-07-20T04:09:00"/>
  </r>
  <r>
    <x v="95"/>
    <x v="3"/>
    <d v="2026-07-20T04:08:00"/>
  </r>
  <r>
    <x v="3"/>
    <x v="4"/>
    <d v="2026-07-20T04:41:00"/>
  </r>
  <r>
    <x v="156"/>
    <x v="4"/>
    <d v="2026-07-20T04:53:00"/>
  </r>
  <r>
    <x v="182"/>
    <x v="3"/>
    <d v="2026-07-20T04:39:00"/>
  </r>
  <r>
    <x v="179"/>
    <x v="3"/>
    <d v="2026-07-20T04:11:00"/>
  </r>
  <r>
    <x v="120"/>
    <x v="3"/>
    <d v="2026-07-20T04:38:00"/>
  </r>
  <r>
    <x v="189"/>
    <x v="4"/>
    <d v="2026-07-20T04:41:00"/>
  </r>
  <r>
    <x v="8"/>
    <x v="3"/>
    <d v="2026-07-20T04:23:00"/>
  </r>
  <r>
    <x v="197"/>
    <x v="3"/>
    <d v="2026-07-20T04:28:00"/>
  </r>
  <r>
    <x v="19"/>
    <x v="3"/>
    <d v="2026-07-20T04:07:00"/>
  </r>
  <r>
    <x v="122"/>
    <x v="4"/>
    <d v="2026-07-20T04:40:00"/>
  </r>
  <r>
    <x v="186"/>
    <x v="3"/>
    <d v="2026-07-20T04:27:00"/>
  </r>
  <r>
    <x v="187"/>
    <x v="4"/>
    <d v="2026-07-20T04:31:00"/>
  </r>
  <r>
    <x v="165"/>
    <x v="4"/>
    <d v="2026-07-20T04:37:00"/>
  </r>
  <r>
    <x v="67"/>
    <x v="2"/>
    <d v="2026-07-20T04:34:00"/>
  </r>
  <r>
    <x v="138"/>
    <x v="1"/>
    <d v="2026-07-20T03:31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A1F19-8EE6-4A1E-93EC-8FA1942CE9E0}" name="PivotTable3" cacheId="13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2">
  <location ref="I3:O7" firstHeaderRow="1" firstDataRow="2" firstDataCol="1"/>
  <pivotFields count="3">
    <pivotField axis="axisCol" allDrilled="1" showAll="0" sortType="ascending" dataSourceSort="1" defaultAttributeDrillState="1">
      <items count="6">
        <item x="0"/>
        <item x="1"/>
        <item x="2"/>
        <item x="3"/>
        <item x="4"/>
        <item t="default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_id" fld="2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unnel_events (version 2).xlsb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A3578-7DEF-4394-A7AC-65B9F273F5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eps">
  <location ref="A3:B9" firstHeaderRow="1" firstDataRow="1" firstDataCol="1"/>
  <pivotFields count="3">
    <pivotField showAll="0">
      <items count="201">
        <item x="13"/>
        <item x="52"/>
        <item x="95"/>
        <item x="47"/>
        <item x="94"/>
        <item x="12"/>
        <item x="2"/>
        <item x="126"/>
        <item x="102"/>
        <item x="22"/>
        <item x="86"/>
        <item x="141"/>
        <item x="92"/>
        <item x="133"/>
        <item x="51"/>
        <item x="80"/>
        <item x="63"/>
        <item x="4"/>
        <item x="62"/>
        <item x="15"/>
        <item x="93"/>
        <item x="21"/>
        <item x="56"/>
        <item x="65"/>
        <item x="113"/>
        <item x="1"/>
        <item x="27"/>
        <item x="152"/>
        <item x="164"/>
        <item x="91"/>
        <item x="88"/>
        <item x="33"/>
        <item x="43"/>
        <item x="134"/>
        <item x="30"/>
        <item x="144"/>
        <item x="72"/>
        <item x="70"/>
        <item x="99"/>
        <item x="58"/>
        <item x="73"/>
        <item x="123"/>
        <item x="90"/>
        <item x="39"/>
        <item x="146"/>
        <item x="101"/>
        <item x="108"/>
        <item x="136"/>
        <item x="124"/>
        <item x="61"/>
        <item x="148"/>
        <item x="9"/>
        <item x="76"/>
        <item x="16"/>
        <item x="158"/>
        <item x="149"/>
        <item x="111"/>
        <item x="150"/>
        <item x="67"/>
        <item x="130"/>
        <item x="132"/>
        <item x="84"/>
        <item x="96"/>
        <item x="116"/>
        <item x="142"/>
        <item x="153"/>
        <item x="60"/>
        <item x="174"/>
        <item x="71"/>
        <item x="0"/>
        <item x="166"/>
        <item x="14"/>
        <item x="25"/>
        <item x="7"/>
        <item x="34"/>
        <item x="49"/>
        <item x="139"/>
        <item x="89"/>
        <item x="55"/>
        <item x="38"/>
        <item x="48"/>
        <item x="118"/>
        <item x="10"/>
        <item x="137"/>
        <item x="81"/>
        <item x="145"/>
        <item x="119"/>
        <item x="40"/>
        <item x="117"/>
        <item x="66"/>
        <item x="85"/>
        <item x="161"/>
        <item x="107"/>
        <item x="82"/>
        <item x="18"/>
        <item x="121"/>
        <item x="17"/>
        <item x="77"/>
        <item x="172"/>
        <item x="165"/>
        <item x="114"/>
        <item x="83"/>
        <item x="157"/>
        <item x="53"/>
        <item x="87"/>
        <item x="44"/>
        <item x="32"/>
        <item x="69"/>
        <item x="103"/>
        <item x="135"/>
        <item x="155"/>
        <item x="68"/>
        <item x="127"/>
        <item x="198"/>
        <item x="35"/>
        <item x="151"/>
        <item x="167"/>
        <item x="184"/>
        <item x="11"/>
        <item x="190"/>
        <item x="159"/>
        <item x="122"/>
        <item x="97"/>
        <item x="195"/>
        <item x="109"/>
        <item x="156"/>
        <item x="140"/>
        <item x="163"/>
        <item x="192"/>
        <item x="160"/>
        <item x="170"/>
        <item x="180"/>
        <item x="154"/>
        <item x="169"/>
        <item x="187"/>
        <item x="3"/>
        <item x="178"/>
        <item x="189"/>
        <item x="194"/>
        <item x="162"/>
        <item x="28"/>
        <item x="24"/>
        <item x="54"/>
        <item x="131"/>
        <item x="23"/>
        <item x="79"/>
        <item x="37"/>
        <item x="57"/>
        <item x="115"/>
        <item x="105"/>
        <item x="129"/>
        <item x="112"/>
        <item x="177"/>
        <item x="5"/>
        <item x="185"/>
        <item x="31"/>
        <item x="183"/>
        <item x="196"/>
        <item x="138"/>
        <item x="188"/>
        <item x="78"/>
        <item x="26"/>
        <item x="173"/>
        <item x="98"/>
        <item x="191"/>
        <item x="64"/>
        <item x="143"/>
        <item x="181"/>
        <item x="125"/>
        <item x="36"/>
        <item x="104"/>
        <item x="29"/>
        <item x="46"/>
        <item x="20"/>
        <item x="168"/>
        <item x="176"/>
        <item x="45"/>
        <item x="74"/>
        <item x="128"/>
        <item x="147"/>
        <item x="110"/>
        <item x="19"/>
        <item x="6"/>
        <item x="50"/>
        <item x="197"/>
        <item x="175"/>
        <item x="59"/>
        <item x="120"/>
        <item x="179"/>
        <item x="42"/>
        <item x="182"/>
        <item x="106"/>
        <item x="199"/>
        <item x="100"/>
        <item x="41"/>
        <item x="171"/>
        <item x="186"/>
        <item x="8"/>
        <item x="75"/>
        <item x="193"/>
        <item t="default"/>
      </items>
    </pivotField>
    <pivotField axis="axisRow" showAll="0" sortType="descending">
      <items count="6">
        <item x="1"/>
        <item x="0"/>
        <item x="4"/>
        <item x="2"/>
        <item x="3"/>
        <item t="default"/>
      </items>
    </pivotField>
    <pivotField dataField="1" numFmtId="22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mestamp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F83543-79BB-47BC-9A71-02E3C0CB6FC4}" name="Table2" displayName="Table2" ref="A1:D543" totalsRowShown="0">
  <autoFilter ref="A1:D543" xr:uid="{5CF83543-79BB-47BC-9A71-02E3C0CB6FC4}"/>
  <tableColumns count="4">
    <tableColumn id="1" xr3:uid="{438B02B8-0656-4102-A22B-DF5C46D7CEC8}" name="user_id" dataDxfId="3"/>
    <tableColumn id="2" xr3:uid="{3C74B2AE-F981-4F3F-A5B7-6A22F97478C5}" name="step" dataDxfId="2"/>
    <tableColumn id="3" xr3:uid="{10253C06-BA9C-4FE1-8794-1E66D10A8EB6}" name="timestamp" dataDxfId="1"/>
    <tableColumn id="4" xr3:uid="{F3B8BF66-634C-408D-95D0-D6A38184B5EC}" name="Segment" dataDxfId="0">
      <calculatedColumnFormula>IF(B2="visited_site","New User",IF(AND(OR(B2="signup_started",B2="details_filled",B2="email_verified",B2="purchase_completed"),COUNTIFS($A:$A,A2,$B:$B,"visited_site")&gt;0),"Returning User","Unknown"))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A928A1-A882-4826-8121-39D641A0E4E3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i4nyZupTNs8zcPSXAa5h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A6BB-FD02-432B-AF60-20C6D048B6EB}">
  <dimension ref="A1:D543"/>
  <sheetViews>
    <sheetView tabSelected="1" workbookViewId="0">
      <selection activeCell="I34" sqref="I34"/>
    </sheetView>
  </sheetViews>
  <sheetFormatPr defaultRowHeight="14.25" x14ac:dyDescent="0.45"/>
  <cols>
    <col min="1" max="1" width="8.3984375" style="4" customWidth="1"/>
    <col min="2" max="2" width="17.33203125" bestFit="1" customWidth="1"/>
    <col min="3" max="3" width="14.86328125" style="1" bestFit="1" customWidth="1"/>
    <col min="4" max="4" width="12.19921875" bestFit="1" customWidth="1"/>
  </cols>
  <sheetData>
    <row r="1" spans="1:4" x14ac:dyDescent="0.45">
      <c r="A1" s="4" t="s">
        <v>0</v>
      </c>
      <c r="B1" t="s">
        <v>1</v>
      </c>
      <c r="C1" s="1" t="s">
        <v>2</v>
      </c>
      <c r="D1" t="s">
        <v>220</v>
      </c>
    </row>
    <row r="2" spans="1:4" x14ac:dyDescent="0.45">
      <c r="A2" s="4" t="s">
        <v>3</v>
      </c>
      <c r="B2" s="4" t="s">
        <v>4</v>
      </c>
      <c r="C2" s="1">
        <v>46223.179166666669</v>
      </c>
      <c r="D2" t="str">
        <f t="shared" ref="D2:D65" si="0">IF(B2="visited_site","New User",IF(AND(OR(B2="signup_started",B2="details_filled",B2="email_verified",B2="purchase_completed"),COUNTIFS($A:$A,A2,$B:$B,"visited_site")&gt;0),"Returning User","Unknown"))</f>
        <v>Returning User</v>
      </c>
    </row>
    <row r="3" spans="1:4" x14ac:dyDescent="0.45">
      <c r="A3" s="4" t="s">
        <v>5</v>
      </c>
      <c r="B3" s="4" t="s">
        <v>4</v>
      </c>
      <c r="C3" s="1">
        <v>46223.15902777778</v>
      </c>
      <c r="D3" t="str">
        <f t="shared" si="0"/>
        <v>Returning User</v>
      </c>
    </row>
    <row r="4" spans="1:4" x14ac:dyDescent="0.45">
      <c r="A4" s="4" t="s">
        <v>6</v>
      </c>
      <c r="B4" s="4" t="s">
        <v>7</v>
      </c>
      <c r="C4" s="1">
        <v>46223.147222222222</v>
      </c>
      <c r="D4" t="str">
        <f t="shared" si="0"/>
        <v>New User</v>
      </c>
    </row>
    <row r="5" spans="1:4" x14ac:dyDescent="0.45">
      <c r="A5" s="4" t="s">
        <v>8</v>
      </c>
      <c r="B5" s="4" t="s">
        <v>7</v>
      </c>
      <c r="C5" s="1">
        <v>46223.152777777781</v>
      </c>
      <c r="D5" t="str">
        <f t="shared" si="0"/>
        <v>New User</v>
      </c>
    </row>
    <row r="6" spans="1:4" x14ac:dyDescent="0.45">
      <c r="A6" s="4" t="s">
        <v>9</v>
      </c>
      <c r="B6" s="4" t="s">
        <v>7</v>
      </c>
      <c r="C6" s="1">
        <v>46223.164583333331</v>
      </c>
      <c r="D6" t="str">
        <f t="shared" si="0"/>
        <v>New User</v>
      </c>
    </row>
    <row r="7" spans="1:4" x14ac:dyDescent="0.45">
      <c r="A7" s="4" t="s">
        <v>10</v>
      </c>
      <c r="B7" s="4" t="s">
        <v>7</v>
      </c>
      <c r="C7" s="1">
        <v>46223.15902777778</v>
      </c>
      <c r="D7" t="str">
        <f t="shared" si="0"/>
        <v>New User</v>
      </c>
    </row>
    <row r="8" spans="1:4" x14ac:dyDescent="0.45">
      <c r="A8" s="4" t="s">
        <v>11</v>
      </c>
      <c r="B8" s="4" t="s">
        <v>7</v>
      </c>
      <c r="C8" s="1">
        <v>46223.152777777781</v>
      </c>
      <c r="D8" t="str">
        <f t="shared" si="0"/>
        <v>New User</v>
      </c>
    </row>
    <row r="9" spans="1:4" x14ac:dyDescent="0.45">
      <c r="A9" s="4" t="s">
        <v>12</v>
      </c>
      <c r="B9" s="4" t="s">
        <v>13</v>
      </c>
      <c r="C9" s="1">
        <v>46223.181944444441</v>
      </c>
      <c r="D9" t="str">
        <f t="shared" si="0"/>
        <v>Returning User</v>
      </c>
    </row>
    <row r="10" spans="1:4" x14ac:dyDescent="0.45">
      <c r="A10" s="4" t="s">
        <v>14</v>
      </c>
      <c r="B10" s="4" t="s">
        <v>7</v>
      </c>
      <c r="C10" s="1">
        <v>46223.15347222222</v>
      </c>
      <c r="D10" t="str">
        <f t="shared" si="0"/>
        <v>New User</v>
      </c>
    </row>
    <row r="11" spans="1:4" x14ac:dyDescent="0.45">
      <c r="A11" s="4" t="s">
        <v>15</v>
      </c>
      <c r="B11" s="4" t="s">
        <v>4</v>
      </c>
      <c r="C11" s="1">
        <v>46223.15902777778</v>
      </c>
      <c r="D11" t="str">
        <f t="shared" si="0"/>
        <v>Returning User</v>
      </c>
    </row>
    <row r="12" spans="1:4" x14ac:dyDescent="0.45">
      <c r="A12" s="4" t="s">
        <v>16</v>
      </c>
      <c r="B12" s="4" t="s">
        <v>7</v>
      </c>
      <c r="C12" s="1">
        <v>46223.158333333333</v>
      </c>
      <c r="D12" t="str">
        <f t="shared" si="0"/>
        <v>New User</v>
      </c>
    </row>
    <row r="13" spans="1:4" x14ac:dyDescent="0.45">
      <c r="A13" s="4" t="s">
        <v>17</v>
      </c>
      <c r="B13" s="4" t="s">
        <v>4</v>
      </c>
      <c r="C13" s="1">
        <v>46223.156944444447</v>
      </c>
      <c r="D13" t="str">
        <f t="shared" si="0"/>
        <v>Returning User</v>
      </c>
    </row>
    <row r="14" spans="1:4" x14ac:dyDescent="0.45">
      <c r="A14" s="4" t="s">
        <v>18</v>
      </c>
      <c r="B14" s="4" t="s">
        <v>7</v>
      </c>
      <c r="C14" s="1">
        <v>46223.163888888892</v>
      </c>
      <c r="D14" t="str">
        <f t="shared" si="0"/>
        <v>New User</v>
      </c>
    </row>
    <row r="15" spans="1:4" x14ac:dyDescent="0.45">
      <c r="A15" s="4" t="s">
        <v>19</v>
      </c>
      <c r="B15" s="4" t="s">
        <v>4</v>
      </c>
      <c r="C15" s="1">
        <v>46223.159722222219</v>
      </c>
      <c r="D15" t="str">
        <f t="shared" si="0"/>
        <v>Returning User</v>
      </c>
    </row>
    <row r="16" spans="1:4" x14ac:dyDescent="0.45">
      <c r="A16" s="4" t="s">
        <v>20</v>
      </c>
      <c r="B16" s="4" t="s">
        <v>4</v>
      </c>
      <c r="C16" s="1">
        <v>46223.165972222225</v>
      </c>
      <c r="D16" t="str">
        <f t="shared" si="0"/>
        <v>Returning User</v>
      </c>
    </row>
    <row r="17" spans="1:4" x14ac:dyDescent="0.45">
      <c r="A17" s="4" t="s">
        <v>21</v>
      </c>
      <c r="B17" s="4" t="s">
        <v>7</v>
      </c>
      <c r="C17" s="1">
        <v>46223.146527777775</v>
      </c>
      <c r="D17" t="str">
        <f t="shared" si="0"/>
        <v>New User</v>
      </c>
    </row>
    <row r="18" spans="1:4" x14ac:dyDescent="0.45">
      <c r="A18" s="4" t="s">
        <v>22</v>
      </c>
      <c r="B18" s="4" t="s">
        <v>4</v>
      </c>
      <c r="C18" s="1">
        <v>46223.17083333333</v>
      </c>
      <c r="D18" t="str">
        <f t="shared" si="0"/>
        <v>Returning User</v>
      </c>
    </row>
    <row r="19" spans="1:4" x14ac:dyDescent="0.45">
      <c r="A19" s="4" t="s">
        <v>23</v>
      </c>
      <c r="B19" s="4" t="s">
        <v>4</v>
      </c>
      <c r="C19" s="1">
        <v>46223.183333333334</v>
      </c>
      <c r="D19" t="str">
        <f t="shared" si="0"/>
        <v>Returning User</v>
      </c>
    </row>
    <row r="20" spans="1:4" x14ac:dyDescent="0.45">
      <c r="A20" s="4" t="s">
        <v>24</v>
      </c>
      <c r="B20" s="4" t="s">
        <v>4</v>
      </c>
      <c r="C20" s="1">
        <v>46223.177777777775</v>
      </c>
      <c r="D20" t="str">
        <f t="shared" si="0"/>
        <v>Returning User</v>
      </c>
    </row>
    <row r="21" spans="1:4" x14ac:dyDescent="0.45">
      <c r="A21" s="4" t="s">
        <v>25</v>
      </c>
      <c r="B21" s="4" t="s">
        <v>7</v>
      </c>
      <c r="C21" s="1">
        <v>46223.15625</v>
      </c>
      <c r="D21" t="str">
        <f t="shared" si="0"/>
        <v>New User</v>
      </c>
    </row>
    <row r="22" spans="1:4" x14ac:dyDescent="0.45">
      <c r="A22" s="4" t="s">
        <v>26</v>
      </c>
      <c r="B22" s="4" t="s">
        <v>27</v>
      </c>
      <c r="C22" s="1">
        <v>46223.192361111112</v>
      </c>
      <c r="D22" t="str">
        <f t="shared" si="0"/>
        <v>Returning User</v>
      </c>
    </row>
    <row r="23" spans="1:4" x14ac:dyDescent="0.45">
      <c r="A23" s="4" t="s">
        <v>28</v>
      </c>
      <c r="B23" s="4" t="s">
        <v>4</v>
      </c>
      <c r="C23" s="1">
        <v>46223.15625</v>
      </c>
      <c r="D23" t="str">
        <f t="shared" si="0"/>
        <v>Returning User</v>
      </c>
    </row>
    <row r="24" spans="1:4" x14ac:dyDescent="0.45">
      <c r="A24" s="4" t="s">
        <v>29</v>
      </c>
      <c r="B24" s="4" t="s">
        <v>4</v>
      </c>
      <c r="C24" s="1">
        <v>46223.161111111112</v>
      </c>
      <c r="D24" t="str">
        <f t="shared" si="0"/>
        <v>Returning User</v>
      </c>
    </row>
    <row r="25" spans="1:4" x14ac:dyDescent="0.45">
      <c r="A25" s="4" t="s">
        <v>30</v>
      </c>
      <c r="B25" s="4" t="s">
        <v>7</v>
      </c>
      <c r="C25" s="1">
        <v>46223.161111111112</v>
      </c>
      <c r="D25" t="str">
        <f t="shared" si="0"/>
        <v>New User</v>
      </c>
    </row>
    <row r="26" spans="1:4" x14ac:dyDescent="0.45">
      <c r="A26" s="4" t="s">
        <v>31</v>
      </c>
      <c r="B26" s="4" t="s">
        <v>4</v>
      </c>
      <c r="C26" s="1">
        <v>46223.161805555559</v>
      </c>
      <c r="D26" t="str">
        <f t="shared" si="0"/>
        <v>Returning User</v>
      </c>
    </row>
    <row r="27" spans="1:4" x14ac:dyDescent="0.45">
      <c r="A27" s="4" t="s">
        <v>32</v>
      </c>
      <c r="B27" s="4" t="s">
        <v>7</v>
      </c>
      <c r="C27" s="1">
        <v>46223.148611111108</v>
      </c>
      <c r="D27" t="str">
        <f t="shared" si="0"/>
        <v>New User</v>
      </c>
    </row>
    <row r="28" spans="1:4" x14ac:dyDescent="0.45">
      <c r="A28" s="4" t="s">
        <v>33</v>
      </c>
      <c r="B28" s="4" t="s">
        <v>27</v>
      </c>
      <c r="C28" s="1">
        <v>46223.188194444447</v>
      </c>
      <c r="D28" t="str">
        <f t="shared" si="0"/>
        <v>Returning User</v>
      </c>
    </row>
    <row r="29" spans="1:4" x14ac:dyDescent="0.45">
      <c r="A29" s="4" t="s">
        <v>34</v>
      </c>
      <c r="B29" s="4" t="s">
        <v>7</v>
      </c>
      <c r="C29" s="1">
        <v>46223.167361111111</v>
      </c>
      <c r="D29" t="str">
        <f t="shared" si="0"/>
        <v>New User</v>
      </c>
    </row>
    <row r="30" spans="1:4" x14ac:dyDescent="0.45">
      <c r="A30" s="4" t="s">
        <v>35</v>
      </c>
      <c r="B30" s="4" t="s">
        <v>4</v>
      </c>
      <c r="C30" s="1">
        <v>46223.15625</v>
      </c>
      <c r="D30" t="str">
        <f t="shared" si="0"/>
        <v>Returning User</v>
      </c>
    </row>
    <row r="31" spans="1:4" x14ac:dyDescent="0.45">
      <c r="A31" s="4" t="s">
        <v>36</v>
      </c>
      <c r="B31" s="4" t="s">
        <v>27</v>
      </c>
      <c r="C31" s="1">
        <v>46223.171527777777</v>
      </c>
      <c r="D31" t="str">
        <f t="shared" si="0"/>
        <v>Returning User</v>
      </c>
    </row>
    <row r="32" spans="1:4" x14ac:dyDescent="0.45">
      <c r="A32" s="4" t="s">
        <v>37</v>
      </c>
      <c r="B32" s="4" t="s">
        <v>4</v>
      </c>
      <c r="C32" s="1">
        <v>46223.176388888889</v>
      </c>
      <c r="D32" t="str">
        <f t="shared" si="0"/>
        <v>Returning User</v>
      </c>
    </row>
    <row r="33" spans="1:4" x14ac:dyDescent="0.45">
      <c r="A33" s="4" t="s">
        <v>38</v>
      </c>
      <c r="B33" s="4" t="s">
        <v>27</v>
      </c>
      <c r="C33" s="1">
        <v>46223.168055555558</v>
      </c>
      <c r="D33" t="str">
        <f t="shared" si="0"/>
        <v>Returning User</v>
      </c>
    </row>
    <row r="34" spans="1:4" x14ac:dyDescent="0.45">
      <c r="A34" s="4" t="s">
        <v>39</v>
      </c>
      <c r="B34" s="4" t="s">
        <v>40</v>
      </c>
      <c r="C34" s="1">
        <v>46223.211805555555</v>
      </c>
      <c r="D34" t="str">
        <f t="shared" si="0"/>
        <v>Returning User</v>
      </c>
    </row>
    <row r="35" spans="1:4" x14ac:dyDescent="0.45">
      <c r="A35" s="4" t="s">
        <v>41</v>
      </c>
      <c r="B35" s="4" t="s">
        <v>27</v>
      </c>
      <c r="C35" s="1">
        <v>46223.189583333333</v>
      </c>
      <c r="D35" t="str">
        <f t="shared" si="0"/>
        <v>Returning User</v>
      </c>
    </row>
    <row r="36" spans="1:4" x14ac:dyDescent="0.45">
      <c r="A36" s="4" t="s">
        <v>42</v>
      </c>
      <c r="B36" s="4" t="s">
        <v>13</v>
      </c>
      <c r="C36" s="1">
        <v>46223.180555555555</v>
      </c>
      <c r="D36" t="str">
        <f t="shared" si="0"/>
        <v>Returning User</v>
      </c>
    </row>
    <row r="37" spans="1:4" x14ac:dyDescent="0.45">
      <c r="A37" s="4" t="s">
        <v>23</v>
      </c>
      <c r="B37" s="4" t="s">
        <v>13</v>
      </c>
      <c r="C37" s="1">
        <v>46223.197222222225</v>
      </c>
      <c r="D37" t="str">
        <f t="shared" si="0"/>
        <v>Returning User</v>
      </c>
    </row>
    <row r="38" spans="1:4" x14ac:dyDescent="0.45">
      <c r="A38" s="4" t="s">
        <v>43</v>
      </c>
      <c r="B38" s="4" t="s">
        <v>7</v>
      </c>
      <c r="C38" s="1">
        <v>46223.146527777775</v>
      </c>
      <c r="D38" t="str">
        <f t="shared" si="0"/>
        <v>New User</v>
      </c>
    </row>
    <row r="39" spans="1:4" x14ac:dyDescent="0.45">
      <c r="A39" s="4" t="s">
        <v>41</v>
      </c>
      <c r="B39" s="4" t="s">
        <v>7</v>
      </c>
      <c r="C39" s="1">
        <v>46223.155555555553</v>
      </c>
      <c r="D39" t="str">
        <f t="shared" si="0"/>
        <v>New User</v>
      </c>
    </row>
    <row r="40" spans="1:4" x14ac:dyDescent="0.45">
      <c r="A40" s="4" t="s">
        <v>44</v>
      </c>
      <c r="B40" s="4" t="s">
        <v>7</v>
      </c>
      <c r="C40" s="1">
        <v>46223.156944444447</v>
      </c>
      <c r="D40" t="str">
        <f t="shared" si="0"/>
        <v>New User</v>
      </c>
    </row>
    <row r="41" spans="1:4" x14ac:dyDescent="0.45">
      <c r="A41" s="4" t="s">
        <v>45</v>
      </c>
      <c r="B41" s="4" t="s">
        <v>7</v>
      </c>
      <c r="C41" s="1">
        <v>46223.145833333336</v>
      </c>
      <c r="D41" t="str">
        <f t="shared" si="0"/>
        <v>New User</v>
      </c>
    </row>
    <row r="42" spans="1:4" x14ac:dyDescent="0.45">
      <c r="A42" s="4" t="s">
        <v>46</v>
      </c>
      <c r="B42" s="4" t="s">
        <v>13</v>
      </c>
      <c r="C42" s="1">
        <v>46223.196527777778</v>
      </c>
      <c r="D42" t="str">
        <f t="shared" si="0"/>
        <v>Returning User</v>
      </c>
    </row>
    <row r="43" spans="1:4" x14ac:dyDescent="0.45">
      <c r="A43" s="4" t="s">
        <v>29</v>
      </c>
      <c r="B43" s="4" t="s">
        <v>27</v>
      </c>
      <c r="C43" s="1">
        <v>46223.177083333336</v>
      </c>
      <c r="D43" t="str">
        <f t="shared" si="0"/>
        <v>Returning User</v>
      </c>
    </row>
    <row r="44" spans="1:4" x14ac:dyDescent="0.45">
      <c r="A44" s="4" t="s">
        <v>47</v>
      </c>
      <c r="B44" s="4" t="s">
        <v>4</v>
      </c>
      <c r="C44" s="1">
        <v>46223.175000000003</v>
      </c>
      <c r="D44" t="str">
        <f t="shared" si="0"/>
        <v>Returning User</v>
      </c>
    </row>
    <row r="45" spans="1:4" x14ac:dyDescent="0.45">
      <c r="A45" s="4" t="s">
        <v>48</v>
      </c>
      <c r="B45" s="4" t="s">
        <v>7</v>
      </c>
      <c r="C45" s="1">
        <v>46223.150694444441</v>
      </c>
      <c r="D45" t="str">
        <f t="shared" si="0"/>
        <v>New User</v>
      </c>
    </row>
    <row r="46" spans="1:4" x14ac:dyDescent="0.45">
      <c r="A46" s="4" t="s">
        <v>49</v>
      </c>
      <c r="B46" s="4" t="s">
        <v>7</v>
      </c>
      <c r="C46" s="1">
        <v>46223.166666666664</v>
      </c>
      <c r="D46" t="str">
        <f t="shared" si="0"/>
        <v>New User</v>
      </c>
    </row>
    <row r="47" spans="1:4" x14ac:dyDescent="0.45">
      <c r="A47" s="4" t="s">
        <v>29</v>
      </c>
      <c r="B47" s="4" t="s">
        <v>7</v>
      </c>
      <c r="C47" s="1">
        <v>46223.158333333333</v>
      </c>
      <c r="D47" t="str">
        <f t="shared" si="0"/>
        <v>New User</v>
      </c>
    </row>
    <row r="48" spans="1:4" x14ac:dyDescent="0.45">
      <c r="A48" s="4" t="s">
        <v>50</v>
      </c>
      <c r="B48" s="4" t="s">
        <v>27</v>
      </c>
      <c r="C48" s="1">
        <v>46223.190972222219</v>
      </c>
      <c r="D48" t="str">
        <f t="shared" si="0"/>
        <v>Returning User</v>
      </c>
    </row>
    <row r="49" spans="1:4" x14ac:dyDescent="0.45">
      <c r="A49" s="4" t="s">
        <v>51</v>
      </c>
      <c r="B49" s="4" t="s">
        <v>27</v>
      </c>
      <c r="C49" s="1">
        <v>46223.175694444442</v>
      </c>
      <c r="D49" t="str">
        <f t="shared" si="0"/>
        <v>Returning User</v>
      </c>
    </row>
    <row r="50" spans="1:4" x14ac:dyDescent="0.45">
      <c r="A50" s="4" t="s">
        <v>52</v>
      </c>
      <c r="B50" s="4" t="s">
        <v>7</v>
      </c>
      <c r="C50" s="1">
        <v>46223.167361111111</v>
      </c>
      <c r="D50" t="str">
        <f t="shared" si="0"/>
        <v>New User</v>
      </c>
    </row>
    <row r="51" spans="1:4" x14ac:dyDescent="0.45">
      <c r="A51" s="4" t="s">
        <v>53</v>
      </c>
      <c r="B51" s="4" t="s">
        <v>7</v>
      </c>
      <c r="C51" s="1">
        <v>46223.152083333334</v>
      </c>
      <c r="D51" t="str">
        <f t="shared" si="0"/>
        <v>New User</v>
      </c>
    </row>
    <row r="52" spans="1:4" x14ac:dyDescent="0.45">
      <c r="A52" s="4" t="s">
        <v>54</v>
      </c>
      <c r="B52" s="4" t="s">
        <v>27</v>
      </c>
      <c r="C52" s="1">
        <v>46223.191666666666</v>
      </c>
      <c r="D52" t="str">
        <f t="shared" si="0"/>
        <v>Returning User</v>
      </c>
    </row>
    <row r="53" spans="1:4" x14ac:dyDescent="0.45">
      <c r="A53" s="4" t="s">
        <v>55</v>
      </c>
      <c r="B53" s="4" t="s">
        <v>27</v>
      </c>
      <c r="C53" s="1">
        <v>46223.179166666669</v>
      </c>
      <c r="D53" t="str">
        <f t="shared" si="0"/>
        <v>Returning User</v>
      </c>
    </row>
    <row r="54" spans="1:4" x14ac:dyDescent="0.45">
      <c r="A54" s="4" t="s">
        <v>56</v>
      </c>
      <c r="B54" s="4" t="s">
        <v>13</v>
      </c>
      <c r="C54" s="1">
        <v>46223.185416666667</v>
      </c>
      <c r="D54" t="str">
        <f t="shared" si="0"/>
        <v>Returning User</v>
      </c>
    </row>
    <row r="55" spans="1:4" x14ac:dyDescent="0.45">
      <c r="A55" s="4" t="s">
        <v>57</v>
      </c>
      <c r="B55" s="4" t="s">
        <v>13</v>
      </c>
      <c r="C55" s="1">
        <v>46223.197916666664</v>
      </c>
      <c r="D55" t="str">
        <f t="shared" si="0"/>
        <v>Returning User</v>
      </c>
    </row>
    <row r="56" spans="1:4" x14ac:dyDescent="0.45">
      <c r="A56" s="4" t="s">
        <v>58</v>
      </c>
      <c r="B56" s="4" t="s">
        <v>27</v>
      </c>
      <c r="C56" s="1">
        <v>46223.17291666667</v>
      </c>
      <c r="D56" t="str">
        <f t="shared" si="0"/>
        <v>Returning User</v>
      </c>
    </row>
    <row r="57" spans="1:4" x14ac:dyDescent="0.45">
      <c r="A57" s="4" t="s">
        <v>59</v>
      </c>
      <c r="B57" s="4" t="s">
        <v>7</v>
      </c>
      <c r="C57" s="1">
        <v>46223.145833333336</v>
      </c>
      <c r="D57" t="str">
        <f t="shared" si="0"/>
        <v>New User</v>
      </c>
    </row>
    <row r="58" spans="1:4" x14ac:dyDescent="0.45">
      <c r="A58" s="4" t="s">
        <v>60</v>
      </c>
      <c r="B58" s="4" t="s">
        <v>4</v>
      </c>
      <c r="C58" s="1">
        <v>46223.169444444444</v>
      </c>
      <c r="D58" t="str">
        <f t="shared" si="0"/>
        <v>Returning User</v>
      </c>
    </row>
    <row r="59" spans="1:4" x14ac:dyDescent="0.45">
      <c r="A59" s="4" t="s">
        <v>61</v>
      </c>
      <c r="B59" s="4" t="s">
        <v>4</v>
      </c>
      <c r="C59" s="1">
        <v>46223.163194444445</v>
      </c>
      <c r="D59" t="str">
        <f t="shared" si="0"/>
        <v>Returning User</v>
      </c>
    </row>
    <row r="60" spans="1:4" x14ac:dyDescent="0.45">
      <c r="A60" s="4" t="s">
        <v>55</v>
      </c>
      <c r="B60" s="4" t="s">
        <v>7</v>
      </c>
      <c r="C60" s="1">
        <v>46223.162499999999</v>
      </c>
      <c r="D60" t="str">
        <f t="shared" si="0"/>
        <v>New User</v>
      </c>
    </row>
    <row r="61" spans="1:4" x14ac:dyDescent="0.45">
      <c r="A61" s="4" t="s">
        <v>28</v>
      </c>
      <c r="B61" s="4" t="s">
        <v>27</v>
      </c>
      <c r="C61" s="1">
        <v>46223.173611111109</v>
      </c>
      <c r="D61" t="str">
        <f t="shared" si="0"/>
        <v>Returning User</v>
      </c>
    </row>
    <row r="62" spans="1:4" x14ac:dyDescent="0.45">
      <c r="A62" s="4" t="s">
        <v>62</v>
      </c>
      <c r="B62" s="4" t="s">
        <v>4</v>
      </c>
      <c r="C62" s="1">
        <v>46223.180555555555</v>
      </c>
      <c r="D62" t="str">
        <f t="shared" si="0"/>
        <v>Returning User</v>
      </c>
    </row>
    <row r="63" spans="1:4" x14ac:dyDescent="0.45">
      <c r="A63" s="4" t="s">
        <v>63</v>
      </c>
      <c r="B63" s="4" t="s">
        <v>7</v>
      </c>
      <c r="C63" s="1">
        <v>46223.168055555558</v>
      </c>
      <c r="D63" t="str">
        <f t="shared" si="0"/>
        <v>New User</v>
      </c>
    </row>
    <row r="64" spans="1:4" x14ac:dyDescent="0.45">
      <c r="A64" s="4" t="s">
        <v>64</v>
      </c>
      <c r="B64" s="4" t="s">
        <v>27</v>
      </c>
      <c r="C64" s="1">
        <v>46223.176388888889</v>
      </c>
      <c r="D64" t="str">
        <f t="shared" si="0"/>
        <v>Returning User</v>
      </c>
    </row>
    <row r="65" spans="1:4" x14ac:dyDescent="0.45">
      <c r="A65" s="4" t="s">
        <v>32</v>
      </c>
      <c r="B65" s="4" t="s">
        <v>4</v>
      </c>
      <c r="C65" s="1">
        <v>46223.177083333336</v>
      </c>
      <c r="D65" t="str">
        <f t="shared" si="0"/>
        <v>Returning User</v>
      </c>
    </row>
    <row r="66" spans="1:4" x14ac:dyDescent="0.45">
      <c r="A66" s="4" t="s">
        <v>65</v>
      </c>
      <c r="B66" s="4" t="s">
        <v>4</v>
      </c>
      <c r="C66" s="1">
        <v>46223.165972222225</v>
      </c>
      <c r="D66" t="str">
        <f t="shared" ref="D66:D129" si="1">IF(B66="visited_site","New User",IF(AND(OR(B66="signup_started",B66="details_filled",B66="email_verified",B66="purchase_completed"),COUNTIFS($A:$A,A66,$B:$B,"visited_site")&gt;0),"Returning User","Unknown"))</f>
        <v>Returning User</v>
      </c>
    </row>
    <row r="67" spans="1:4" x14ac:dyDescent="0.45">
      <c r="A67" s="4" t="s">
        <v>16</v>
      </c>
      <c r="B67" s="4" t="s">
        <v>4</v>
      </c>
      <c r="C67" s="1">
        <v>46223.15625</v>
      </c>
      <c r="D67" t="str">
        <f t="shared" si="1"/>
        <v>Returning User</v>
      </c>
    </row>
    <row r="68" spans="1:4" x14ac:dyDescent="0.45">
      <c r="A68" s="4" t="s">
        <v>66</v>
      </c>
      <c r="B68" s="4" t="s">
        <v>4</v>
      </c>
      <c r="C68" s="1">
        <v>46223.168749999997</v>
      </c>
      <c r="D68" t="str">
        <f t="shared" si="1"/>
        <v>Returning User</v>
      </c>
    </row>
    <row r="69" spans="1:4" x14ac:dyDescent="0.45">
      <c r="A69" s="4" t="s">
        <v>67</v>
      </c>
      <c r="B69" s="4" t="s">
        <v>27</v>
      </c>
      <c r="C69" s="1">
        <v>46223.166666666664</v>
      </c>
      <c r="D69" t="str">
        <f t="shared" si="1"/>
        <v>Returning User</v>
      </c>
    </row>
    <row r="70" spans="1:4" x14ac:dyDescent="0.45">
      <c r="A70" s="4" t="s">
        <v>20</v>
      </c>
      <c r="B70" s="4" t="s">
        <v>13</v>
      </c>
      <c r="C70" s="1">
        <v>46223.198611111111</v>
      </c>
      <c r="D70" t="str">
        <f t="shared" si="1"/>
        <v>Returning User</v>
      </c>
    </row>
    <row r="71" spans="1:4" x14ac:dyDescent="0.45">
      <c r="A71" s="4" t="s">
        <v>68</v>
      </c>
      <c r="B71" s="4" t="s">
        <v>13</v>
      </c>
      <c r="C71" s="1">
        <v>46223.190972222219</v>
      </c>
      <c r="D71" t="str">
        <f t="shared" si="1"/>
        <v>Returning User</v>
      </c>
    </row>
    <row r="72" spans="1:4" x14ac:dyDescent="0.45">
      <c r="A72" s="4" t="s">
        <v>69</v>
      </c>
      <c r="B72" s="4" t="s">
        <v>4</v>
      </c>
      <c r="C72" s="1">
        <v>46223.180555555555</v>
      </c>
      <c r="D72" t="str">
        <f t="shared" si="1"/>
        <v>Returning User</v>
      </c>
    </row>
    <row r="73" spans="1:4" x14ac:dyDescent="0.45">
      <c r="A73" s="4" t="s">
        <v>70</v>
      </c>
      <c r="B73" s="4" t="s">
        <v>27</v>
      </c>
      <c r="C73" s="1">
        <v>46223.178472222222</v>
      </c>
      <c r="D73" t="str">
        <f t="shared" si="1"/>
        <v>Returning User</v>
      </c>
    </row>
    <row r="74" spans="1:4" x14ac:dyDescent="0.45">
      <c r="A74" s="4" t="s">
        <v>71</v>
      </c>
      <c r="B74" s="4" t="s">
        <v>4</v>
      </c>
      <c r="C74" s="1">
        <v>46223.171527777777</v>
      </c>
      <c r="D74" t="str">
        <f t="shared" si="1"/>
        <v>Returning User</v>
      </c>
    </row>
    <row r="75" spans="1:4" x14ac:dyDescent="0.45">
      <c r="A75" s="4" t="s">
        <v>72</v>
      </c>
      <c r="B75" s="4" t="s">
        <v>27</v>
      </c>
      <c r="C75" s="1">
        <v>46223.179166666669</v>
      </c>
      <c r="D75" t="str">
        <f t="shared" si="1"/>
        <v>Returning User</v>
      </c>
    </row>
    <row r="76" spans="1:4" x14ac:dyDescent="0.45">
      <c r="A76" s="4" t="s">
        <v>73</v>
      </c>
      <c r="B76" s="4" t="s">
        <v>27</v>
      </c>
      <c r="C76" s="1">
        <v>46223.168749999997</v>
      </c>
      <c r="D76" t="str">
        <f t="shared" si="1"/>
        <v>Returning User</v>
      </c>
    </row>
    <row r="77" spans="1:4" x14ac:dyDescent="0.45">
      <c r="A77" s="4" t="s">
        <v>62</v>
      </c>
      <c r="B77" s="4" t="s">
        <v>7</v>
      </c>
      <c r="C77" s="1">
        <v>46223.17291666667</v>
      </c>
      <c r="D77" t="str">
        <f t="shared" si="1"/>
        <v>New User</v>
      </c>
    </row>
    <row r="78" spans="1:4" x14ac:dyDescent="0.45">
      <c r="A78" s="4" t="s">
        <v>68</v>
      </c>
      <c r="B78" s="4" t="s">
        <v>4</v>
      </c>
      <c r="C78" s="1">
        <v>46223.168055555558</v>
      </c>
      <c r="D78" t="str">
        <f t="shared" si="1"/>
        <v>Returning User</v>
      </c>
    </row>
    <row r="79" spans="1:4" x14ac:dyDescent="0.45">
      <c r="A79" s="4" t="s">
        <v>74</v>
      </c>
      <c r="B79" s="4" t="s">
        <v>7</v>
      </c>
      <c r="C79" s="1">
        <v>46223.15625</v>
      </c>
      <c r="D79" t="str">
        <f t="shared" si="1"/>
        <v>New User</v>
      </c>
    </row>
    <row r="80" spans="1:4" x14ac:dyDescent="0.45">
      <c r="A80" s="4" t="s">
        <v>75</v>
      </c>
      <c r="B80" s="4" t="s">
        <v>4</v>
      </c>
      <c r="C80" s="1">
        <v>46223.158333333333</v>
      </c>
      <c r="D80" t="str">
        <f t="shared" si="1"/>
        <v>Returning User</v>
      </c>
    </row>
    <row r="81" spans="1:4" x14ac:dyDescent="0.45">
      <c r="A81" s="4" t="s">
        <v>76</v>
      </c>
      <c r="B81" s="4" t="s">
        <v>7</v>
      </c>
      <c r="C81" s="1">
        <v>46223.15</v>
      </c>
      <c r="D81" t="str">
        <f t="shared" si="1"/>
        <v>New User</v>
      </c>
    </row>
    <row r="82" spans="1:4" x14ac:dyDescent="0.45">
      <c r="A82" s="4" t="s">
        <v>77</v>
      </c>
      <c r="B82" s="4" t="s">
        <v>40</v>
      </c>
      <c r="C82" s="1">
        <v>46223.193749999999</v>
      </c>
      <c r="D82" t="str">
        <f t="shared" si="1"/>
        <v>Returning User</v>
      </c>
    </row>
    <row r="83" spans="1:4" x14ac:dyDescent="0.45">
      <c r="A83" s="4" t="s">
        <v>19</v>
      </c>
      <c r="B83" s="4" t="s">
        <v>27</v>
      </c>
      <c r="C83" s="1">
        <v>46223.178472222222</v>
      </c>
      <c r="D83" t="str">
        <f t="shared" si="1"/>
        <v>Returning User</v>
      </c>
    </row>
    <row r="84" spans="1:4" x14ac:dyDescent="0.45">
      <c r="A84" s="4" t="s">
        <v>56</v>
      </c>
      <c r="B84" s="4" t="s">
        <v>4</v>
      </c>
      <c r="C84" s="1">
        <v>46223.15902777778</v>
      </c>
      <c r="D84" t="str">
        <f t="shared" si="1"/>
        <v>Returning User</v>
      </c>
    </row>
    <row r="85" spans="1:4" x14ac:dyDescent="0.45">
      <c r="A85" s="4" t="s">
        <v>78</v>
      </c>
      <c r="B85" s="4" t="s">
        <v>4</v>
      </c>
      <c r="C85" s="1">
        <v>46223.177083333336</v>
      </c>
      <c r="D85" t="str">
        <f t="shared" si="1"/>
        <v>Returning User</v>
      </c>
    </row>
    <row r="86" spans="1:4" x14ac:dyDescent="0.45">
      <c r="A86" s="4" t="s">
        <v>79</v>
      </c>
      <c r="B86" s="4" t="s">
        <v>4</v>
      </c>
      <c r="C86" s="1">
        <v>46223.158333333333</v>
      </c>
      <c r="D86" t="str">
        <f t="shared" si="1"/>
        <v>Returning User</v>
      </c>
    </row>
    <row r="87" spans="1:4" x14ac:dyDescent="0.45">
      <c r="A87" s="4" t="s">
        <v>65</v>
      </c>
      <c r="B87" s="4" t="s">
        <v>7</v>
      </c>
      <c r="C87" s="1">
        <v>46223.161805555559</v>
      </c>
      <c r="D87" t="str">
        <f t="shared" si="1"/>
        <v>New User</v>
      </c>
    </row>
    <row r="88" spans="1:4" x14ac:dyDescent="0.45">
      <c r="A88" s="4" t="s">
        <v>80</v>
      </c>
      <c r="B88" s="4" t="s">
        <v>27</v>
      </c>
      <c r="C88" s="1">
        <v>46223.182638888888</v>
      </c>
      <c r="D88" t="str">
        <f t="shared" si="1"/>
        <v>Returning User</v>
      </c>
    </row>
    <row r="89" spans="1:4" x14ac:dyDescent="0.45">
      <c r="A89" s="4" t="s">
        <v>81</v>
      </c>
      <c r="B89" s="4" t="s">
        <v>27</v>
      </c>
      <c r="C89" s="1">
        <v>46223.173611111109</v>
      </c>
      <c r="D89" t="str">
        <f t="shared" si="1"/>
        <v>Returning User</v>
      </c>
    </row>
    <row r="90" spans="1:4" x14ac:dyDescent="0.45">
      <c r="A90" s="4" t="s">
        <v>74</v>
      </c>
      <c r="B90" s="4" t="s">
        <v>4</v>
      </c>
      <c r="C90" s="1">
        <v>46223.168055555558</v>
      </c>
      <c r="D90" t="str">
        <f t="shared" si="1"/>
        <v>Returning User</v>
      </c>
    </row>
    <row r="91" spans="1:4" x14ac:dyDescent="0.45">
      <c r="A91" s="4" t="s">
        <v>82</v>
      </c>
      <c r="B91" s="4" t="s">
        <v>27</v>
      </c>
      <c r="C91" s="1">
        <v>46223.183333333334</v>
      </c>
      <c r="D91" t="str">
        <f t="shared" si="1"/>
        <v>Returning User</v>
      </c>
    </row>
    <row r="92" spans="1:4" x14ac:dyDescent="0.45">
      <c r="A92" s="4" t="s">
        <v>83</v>
      </c>
      <c r="B92" s="4" t="s">
        <v>27</v>
      </c>
      <c r="C92" s="1">
        <v>46223.1875</v>
      </c>
      <c r="D92" t="str">
        <f t="shared" si="1"/>
        <v>Returning User</v>
      </c>
    </row>
    <row r="93" spans="1:4" x14ac:dyDescent="0.45">
      <c r="A93" s="4" t="s">
        <v>84</v>
      </c>
      <c r="B93" s="4" t="s">
        <v>13</v>
      </c>
      <c r="C93" s="1">
        <v>46223.195138888892</v>
      </c>
      <c r="D93" t="str">
        <f t="shared" si="1"/>
        <v>Returning User</v>
      </c>
    </row>
    <row r="94" spans="1:4" x14ac:dyDescent="0.45">
      <c r="A94" s="4" t="s">
        <v>85</v>
      </c>
      <c r="B94" s="4" t="s">
        <v>4</v>
      </c>
      <c r="C94" s="1">
        <v>46223.180555555555</v>
      </c>
      <c r="D94" t="str">
        <f t="shared" si="1"/>
        <v>Returning User</v>
      </c>
    </row>
    <row r="95" spans="1:4" x14ac:dyDescent="0.45">
      <c r="A95" s="4" t="s">
        <v>86</v>
      </c>
      <c r="B95" s="4" t="s">
        <v>27</v>
      </c>
      <c r="C95" s="1">
        <v>46223.183333333334</v>
      </c>
      <c r="D95" t="str">
        <f t="shared" si="1"/>
        <v>Returning User</v>
      </c>
    </row>
    <row r="96" spans="1:4" x14ac:dyDescent="0.45">
      <c r="A96" s="4" t="s">
        <v>87</v>
      </c>
      <c r="B96" s="4" t="s">
        <v>7</v>
      </c>
      <c r="C96" s="1">
        <v>46223.154861111114</v>
      </c>
      <c r="D96" t="str">
        <f t="shared" si="1"/>
        <v>New User</v>
      </c>
    </row>
    <row r="97" spans="1:4" x14ac:dyDescent="0.45">
      <c r="A97" s="4" t="s">
        <v>86</v>
      </c>
      <c r="B97" s="4" t="s">
        <v>7</v>
      </c>
      <c r="C97" s="1">
        <v>46223.146527777775</v>
      </c>
      <c r="D97" t="str">
        <f t="shared" si="1"/>
        <v>New User</v>
      </c>
    </row>
    <row r="98" spans="1:4" x14ac:dyDescent="0.45">
      <c r="A98" s="4" t="s">
        <v>88</v>
      </c>
      <c r="B98" s="4" t="s">
        <v>7</v>
      </c>
      <c r="C98" s="1">
        <v>46223.15347222222</v>
      </c>
      <c r="D98" t="str">
        <f t="shared" si="1"/>
        <v>New User</v>
      </c>
    </row>
    <row r="99" spans="1:4" x14ac:dyDescent="0.45">
      <c r="A99" s="4" t="s">
        <v>21</v>
      </c>
      <c r="B99" s="4" t="s">
        <v>4</v>
      </c>
      <c r="C99" s="1">
        <v>46223.164583333331</v>
      </c>
      <c r="D99" t="str">
        <f t="shared" si="1"/>
        <v>Returning User</v>
      </c>
    </row>
    <row r="100" spans="1:4" x14ac:dyDescent="0.45">
      <c r="A100" s="4" t="s">
        <v>89</v>
      </c>
      <c r="B100" s="4" t="s">
        <v>7</v>
      </c>
      <c r="C100" s="1">
        <v>46223.152777777781</v>
      </c>
      <c r="D100" t="str">
        <f t="shared" si="1"/>
        <v>New User</v>
      </c>
    </row>
    <row r="101" spans="1:4" x14ac:dyDescent="0.45">
      <c r="A101" s="4" t="s">
        <v>90</v>
      </c>
      <c r="B101" s="4" t="s">
        <v>7</v>
      </c>
      <c r="C101" s="1">
        <v>46223.147916666669</v>
      </c>
      <c r="D101" t="str">
        <f t="shared" si="1"/>
        <v>New User</v>
      </c>
    </row>
    <row r="102" spans="1:4" x14ac:dyDescent="0.45">
      <c r="A102" s="4" t="s">
        <v>91</v>
      </c>
      <c r="B102" s="4" t="s">
        <v>4</v>
      </c>
      <c r="C102" s="1">
        <v>46223.177777777775</v>
      </c>
      <c r="D102" t="str">
        <f t="shared" si="1"/>
        <v>Returning User</v>
      </c>
    </row>
    <row r="103" spans="1:4" x14ac:dyDescent="0.45">
      <c r="A103" s="4" t="s">
        <v>92</v>
      </c>
      <c r="B103" s="4" t="s">
        <v>13</v>
      </c>
      <c r="C103" s="1">
        <v>46223.19027777778</v>
      </c>
      <c r="D103" t="str">
        <f t="shared" si="1"/>
        <v>Returning User</v>
      </c>
    </row>
    <row r="104" spans="1:4" x14ac:dyDescent="0.45">
      <c r="A104" s="4" t="s">
        <v>93</v>
      </c>
      <c r="B104" s="4" t="s">
        <v>4</v>
      </c>
      <c r="C104" s="1">
        <v>46223.161111111112</v>
      </c>
      <c r="D104" t="str">
        <f t="shared" si="1"/>
        <v>Returning User</v>
      </c>
    </row>
    <row r="105" spans="1:4" x14ac:dyDescent="0.45">
      <c r="A105" s="4" t="s">
        <v>94</v>
      </c>
      <c r="B105" s="4" t="s">
        <v>7</v>
      </c>
      <c r="C105" s="1">
        <v>46223.15347222222</v>
      </c>
      <c r="D105" t="str">
        <f t="shared" si="1"/>
        <v>New User</v>
      </c>
    </row>
    <row r="106" spans="1:4" x14ac:dyDescent="0.45">
      <c r="A106" s="4" t="s">
        <v>11</v>
      </c>
      <c r="B106" s="4" t="s">
        <v>27</v>
      </c>
      <c r="C106" s="1">
        <v>46223.177777777775</v>
      </c>
      <c r="D106" t="str">
        <f t="shared" si="1"/>
        <v>Returning User</v>
      </c>
    </row>
    <row r="107" spans="1:4" x14ac:dyDescent="0.45">
      <c r="A107" s="4" t="s">
        <v>63</v>
      </c>
      <c r="B107" s="4" t="s">
        <v>13</v>
      </c>
      <c r="C107" s="1">
        <v>46223.192361111112</v>
      </c>
      <c r="D107" t="str">
        <f t="shared" si="1"/>
        <v>Returning User</v>
      </c>
    </row>
    <row r="108" spans="1:4" x14ac:dyDescent="0.45">
      <c r="A108" s="4" t="s">
        <v>81</v>
      </c>
      <c r="B108" s="4" t="s">
        <v>7</v>
      </c>
      <c r="C108" s="1">
        <v>46223.147916666669</v>
      </c>
      <c r="D108" t="str">
        <f t="shared" si="1"/>
        <v>New User</v>
      </c>
    </row>
    <row r="109" spans="1:4" x14ac:dyDescent="0.45">
      <c r="A109" s="4" t="s">
        <v>95</v>
      </c>
      <c r="B109" s="4" t="s">
        <v>40</v>
      </c>
      <c r="C109" s="1">
        <v>46223.188194444447</v>
      </c>
      <c r="D109" t="str">
        <f t="shared" si="1"/>
        <v>Returning User</v>
      </c>
    </row>
    <row r="110" spans="1:4" x14ac:dyDescent="0.45">
      <c r="A110" s="4" t="s">
        <v>96</v>
      </c>
      <c r="B110" s="4" t="s">
        <v>4</v>
      </c>
      <c r="C110" s="1">
        <v>46223.183333333334</v>
      </c>
      <c r="D110" t="str">
        <f t="shared" si="1"/>
        <v>Returning User</v>
      </c>
    </row>
    <row r="111" spans="1:4" x14ac:dyDescent="0.45">
      <c r="A111" s="4" t="s">
        <v>12</v>
      </c>
      <c r="B111" s="4" t="s">
        <v>7</v>
      </c>
      <c r="C111" s="1">
        <v>46223.152777777781</v>
      </c>
      <c r="D111" t="str">
        <f t="shared" si="1"/>
        <v>New User</v>
      </c>
    </row>
    <row r="112" spans="1:4" x14ac:dyDescent="0.45">
      <c r="A112" s="4" t="s">
        <v>97</v>
      </c>
      <c r="B112" s="4" t="s">
        <v>4</v>
      </c>
      <c r="C112" s="1">
        <v>46223.17083333333</v>
      </c>
      <c r="D112" t="str">
        <f t="shared" si="1"/>
        <v>Returning User</v>
      </c>
    </row>
    <row r="113" spans="1:4" x14ac:dyDescent="0.45">
      <c r="A113" s="4" t="s">
        <v>98</v>
      </c>
      <c r="B113" s="4" t="s">
        <v>4</v>
      </c>
      <c r="C113" s="1">
        <v>46223.160416666666</v>
      </c>
      <c r="D113" t="str">
        <f t="shared" si="1"/>
        <v>Returning User</v>
      </c>
    </row>
    <row r="114" spans="1:4" x14ac:dyDescent="0.45">
      <c r="A114" s="4" t="s">
        <v>84</v>
      </c>
      <c r="B114" s="4" t="s">
        <v>4</v>
      </c>
      <c r="C114" s="1">
        <v>46223.171527777777</v>
      </c>
      <c r="D114" t="str">
        <f t="shared" si="1"/>
        <v>Returning User</v>
      </c>
    </row>
    <row r="115" spans="1:4" x14ac:dyDescent="0.45">
      <c r="A115" s="4" t="s">
        <v>9</v>
      </c>
      <c r="B115" s="4" t="s">
        <v>27</v>
      </c>
      <c r="C115" s="1">
        <v>46223.17083333333</v>
      </c>
      <c r="D115" t="str">
        <f t="shared" si="1"/>
        <v>Returning User</v>
      </c>
    </row>
    <row r="116" spans="1:4" x14ac:dyDescent="0.45">
      <c r="A116" s="4" t="s">
        <v>12</v>
      </c>
      <c r="B116" s="4" t="s">
        <v>4</v>
      </c>
      <c r="C116" s="1">
        <v>46223.156944444447</v>
      </c>
      <c r="D116" t="str">
        <f t="shared" si="1"/>
        <v>Returning User</v>
      </c>
    </row>
    <row r="117" spans="1:4" x14ac:dyDescent="0.45">
      <c r="A117" s="4" t="s">
        <v>99</v>
      </c>
      <c r="B117" s="4" t="s">
        <v>7</v>
      </c>
      <c r="C117" s="1">
        <v>46223.161805555559</v>
      </c>
      <c r="D117" t="str">
        <f t="shared" si="1"/>
        <v>New User</v>
      </c>
    </row>
    <row r="118" spans="1:4" x14ac:dyDescent="0.45">
      <c r="A118" s="4" t="s">
        <v>100</v>
      </c>
      <c r="B118" s="4" t="s">
        <v>7</v>
      </c>
      <c r="C118" s="1">
        <v>46223.165972222225</v>
      </c>
      <c r="D118" t="str">
        <f t="shared" si="1"/>
        <v>New User</v>
      </c>
    </row>
    <row r="119" spans="1:4" x14ac:dyDescent="0.45">
      <c r="A119" s="4" t="s">
        <v>101</v>
      </c>
      <c r="B119" s="4" t="s">
        <v>7</v>
      </c>
      <c r="C119" s="1">
        <v>46223.159722222219</v>
      </c>
      <c r="D119" t="str">
        <f t="shared" si="1"/>
        <v>New User</v>
      </c>
    </row>
    <row r="120" spans="1:4" x14ac:dyDescent="0.45">
      <c r="A120" s="4" t="s">
        <v>102</v>
      </c>
      <c r="B120" s="4" t="s">
        <v>27</v>
      </c>
      <c r="C120" s="1">
        <v>46223.188888888886</v>
      </c>
      <c r="D120" t="str">
        <f t="shared" si="1"/>
        <v>Returning User</v>
      </c>
    </row>
    <row r="121" spans="1:4" x14ac:dyDescent="0.45">
      <c r="A121" s="4" t="s">
        <v>103</v>
      </c>
      <c r="B121" s="4" t="s">
        <v>7</v>
      </c>
      <c r="C121" s="1">
        <v>46223.172222222223</v>
      </c>
      <c r="D121" t="str">
        <f t="shared" si="1"/>
        <v>New User</v>
      </c>
    </row>
    <row r="122" spans="1:4" x14ac:dyDescent="0.45">
      <c r="A122" s="4" t="s">
        <v>55</v>
      </c>
      <c r="B122" s="4" t="s">
        <v>4</v>
      </c>
      <c r="C122" s="1">
        <v>46223.158333333333</v>
      </c>
      <c r="D122" t="str">
        <f t="shared" si="1"/>
        <v>Returning User</v>
      </c>
    </row>
    <row r="123" spans="1:4" x14ac:dyDescent="0.45">
      <c r="A123" s="4" t="s">
        <v>104</v>
      </c>
      <c r="B123" s="4" t="s">
        <v>13</v>
      </c>
      <c r="C123" s="1">
        <v>46223.181944444441</v>
      </c>
      <c r="D123" t="str">
        <f t="shared" si="1"/>
        <v>Returning User</v>
      </c>
    </row>
    <row r="124" spans="1:4" x14ac:dyDescent="0.45">
      <c r="A124" s="4" t="s">
        <v>105</v>
      </c>
      <c r="B124" s="4" t="s">
        <v>40</v>
      </c>
      <c r="C124" s="1">
        <v>46223.193055555559</v>
      </c>
      <c r="D124" t="str">
        <f t="shared" si="1"/>
        <v>Returning User</v>
      </c>
    </row>
    <row r="125" spans="1:4" x14ac:dyDescent="0.45">
      <c r="A125" s="4" t="s">
        <v>57</v>
      </c>
      <c r="B125" s="4" t="s">
        <v>7</v>
      </c>
      <c r="C125" s="1">
        <v>46223.169444444444</v>
      </c>
      <c r="D125" t="str">
        <f t="shared" si="1"/>
        <v>New User</v>
      </c>
    </row>
    <row r="126" spans="1:4" x14ac:dyDescent="0.45">
      <c r="A126" s="4" t="s">
        <v>106</v>
      </c>
      <c r="B126" s="4" t="s">
        <v>7</v>
      </c>
      <c r="C126" s="1">
        <v>46223.146527777775</v>
      </c>
      <c r="D126" t="str">
        <f t="shared" si="1"/>
        <v>New User</v>
      </c>
    </row>
    <row r="127" spans="1:4" x14ac:dyDescent="0.45">
      <c r="A127" s="4" t="s">
        <v>107</v>
      </c>
      <c r="B127" s="4" t="s">
        <v>27</v>
      </c>
      <c r="C127" s="1">
        <v>46223.168749999997</v>
      </c>
      <c r="D127" t="str">
        <f t="shared" si="1"/>
        <v>Returning User</v>
      </c>
    </row>
    <row r="128" spans="1:4" x14ac:dyDescent="0.45">
      <c r="A128" s="4" t="s">
        <v>15</v>
      </c>
      <c r="B128" s="4" t="s">
        <v>13</v>
      </c>
      <c r="C128" s="1">
        <v>46223.181944444441</v>
      </c>
      <c r="D128" t="str">
        <f t="shared" si="1"/>
        <v>Returning User</v>
      </c>
    </row>
    <row r="129" spans="1:4" x14ac:dyDescent="0.45">
      <c r="A129" s="4" t="s">
        <v>108</v>
      </c>
      <c r="B129" s="4" t="s">
        <v>27</v>
      </c>
      <c r="C129" s="1">
        <v>46223.181944444441</v>
      </c>
      <c r="D129" t="str">
        <f t="shared" si="1"/>
        <v>Returning User</v>
      </c>
    </row>
    <row r="130" spans="1:4" x14ac:dyDescent="0.45">
      <c r="A130" s="4" t="s">
        <v>109</v>
      </c>
      <c r="B130" s="4" t="s">
        <v>27</v>
      </c>
      <c r="C130" s="1">
        <v>46223.190972222219</v>
      </c>
      <c r="D130" t="str">
        <f t="shared" ref="D130:D193" si="2">IF(B130="visited_site","New User",IF(AND(OR(B130="signup_started",B130="details_filled",B130="email_verified",B130="purchase_completed"),COUNTIFS($A:$A,A130,$B:$B,"visited_site")&gt;0),"Returning User","Unknown"))</f>
        <v>Returning User</v>
      </c>
    </row>
    <row r="131" spans="1:4" x14ac:dyDescent="0.45">
      <c r="A131" s="4" t="s">
        <v>110</v>
      </c>
      <c r="B131" s="4" t="s">
        <v>27</v>
      </c>
      <c r="C131" s="1">
        <v>46223.175000000003</v>
      </c>
      <c r="D131" t="str">
        <f t="shared" si="2"/>
        <v>Returning User</v>
      </c>
    </row>
    <row r="132" spans="1:4" x14ac:dyDescent="0.45">
      <c r="A132" s="4" t="s">
        <v>111</v>
      </c>
      <c r="B132" s="4" t="s">
        <v>40</v>
      </c>
      <c r="C132" s="1">
        <v>46223.211805555555</v>
      </c>
      <c r="D132" t="str">
        <f t="shared" si="2"/>
        <v>Returning User</v>
      </c>
    </row>
    <row r="133" spans="1:4" x14ac:dyDescent="0.45">
      <c r="A133" s="4" t="s">
        <v>90</v>
      </c>
      <c r="B133" s="4" t="s">
        <v>4</v>
      </c>
      <c r="C133" s="1">
        <v>46223.177083333336</v>
      </c>
      <c r="D133" t="str">
        <f t="shared" si="2"/>
        <v>Returning User</v>
      </c>
    </row>
    <row r="134" spans="1:4" x14ac:dyDescent="0.45">
      <c r="A134" s="4" t="s">
        <v>91</v>
      </c>
      <c r="B134" s="4" t="s">
        <v>7</v>
      </c>
      <c r="C134" s="1">
        <v>46223.165277777778</v>
      </c>
      <c r="D134" t="str">
        <f t="shared" si="2"/>
        <v>New User</v>
      </c>
    </row>
    <row r="135" spans="1:4" x14ac:dyDescent="0.45">
      <c r="A135" s="4" t="s">
        <v>112</v>
      </c>
      <c r="B135" s="4" t="s">
        <v>7</v>
      </c>
      <c r="C135" s="1">
        <v>46223.163194444445</v>
      </c>
      <c r="D135" t="str">
        <f t="shared" si="2"/>
        <v>New User</v>
      </c>
    </row>
    <row r="136" spans="1:4" x14ac:dyDescent="0.45">
      <c r="A136" s="4" t="s">
        <v>104</v>
      </c>
      <c r="B136" s="4" t="s">
        <v>7</v>
      </c>
      <c r="C136" s="1">
        <v>46223.146527777775</v>
      </c>
      <c r="D136" t="str">
        <f t="shared" si="2"/>
        <v>New User</v>
      </c>
    </row>
    <row r="137" spans="1:4" x14ac:dyDescent="0.45">
      <c r="A137" s="4" t="s">
        <v>113</v>
      </c>
      <c r="B137" s="4" t="s">
        <v>4</v>
      </c>
      <c r="C137" s="1">
        <v>46223.177083333336</v>
      </c>
      <c r="D137" t="str">
        <f t="shared" si="2"/>
        <v>Returning User</v>
      </c>
    </row>
    <row r="138" spans="1:4" x14ac:dyDescent="0.45">
      <c r="A138" s="4" t="s">
        <v>114</v>
      </c>
      <c r="B138" s="4" t="s">
        <v>7</v>
      </c>
      <c r="C138" s="1">
        <v>46223.172222222223</v>
      </c>
      <c r="D138" t="str">
        <f t="shared" si="2"/>
        <v>New User</v>
      </c>
    </row>
    <row r="139" spans="1:4" x14ac:dyDescent="0.45">
      <c r="A139" s="4" t="s">
        <v>115</v>
      </c>
      <c r="B139" s="4" t="s">
        <v>4</v>
      </c>
      <c r="C139" s="1">
        <v>46223.162499999999</v>
      </c>
      <c r="D139" t="str">
        <f t="shared" si="2"/>
        <v>Returning User</v>
      </c>
    </row>
    <row r="140" spans="1:4" x14ac:dyDescent="0.45">
      <c r="A140" s="4" t="s">
        <v>5</v>
      </c>
      <c r="B140" s="4" t="s">
        <v>7</v>
      </c>
      <c r="C140" s="1">
        <v>46223.15347222222</v>
      </c>
      <c r="D140" t="str">
        <f t="shared" si="2"/>
        <v>New User</v>
      </c>
    </row>
    <row r="141" spans="1:4" x14ac:dyDescent="0.45">
      <c r="A141" s="4" t="s">
        <v>116</v>
      </c>
      <c r="B141" s="4" t="s">
        <v>13</v>
      </c>
      <c r="C141" s="1">
        <v>46223.191666666666</v>
      </c>
      <c r="D141" t="str">
        <f t="shared" si="2"/>
        <v>Returning User</v>
      </c>
    </row>
    <row r="142" spans="1:4" x14ac:dyDescent="0.45">
      <c r="A142" s="4" t="s">
        <v>117</v>
      </c>
      <c r="B142" s="4" t="s">
        <v>40</v>
      </c>
      <c r="C142" s="1">
        <v>46223.214583333334</v>
      </c>
      <c r="D142" t="str">
        <f t="shared" si="2"/>
        <v>Returning User</v>
      </c>
    </row>
    <row r="143" spans="1:4" x14ac:dyDescent="0.45">
      <c r="A143" s="4" t="s">
        <v>102</v>
      </c>
      <c r="B143" s="4" t="s">
        <v>4</v>
      </c>
      <c r="C143" s="1">
        <v>46223.168055555558</v>
      </c>
      <c r="D143" t="str">
        <f t="shared" si="2"/>
        <v>Returning User</v>
      </c>
    </row>
    <row r="144" spans="1:4" x14ac:dyDescent="0.45">
      <c r="A144" s="4" t="s">
        <v>3</v>
      </c>
      <c r="B144" s="4" t="s">
        <v>13</v>
      </c>
      <c r="C144" s="1">
        <v>46223.183333333334</v>
      </c>
      <c r="D144" t="str">
        <f t="shared" si="2"/>
        <v>Returning User</v>
      </c>
    </row>
    <row r="145" spans="1:4" x14ac:dyDescent="0.45">
      <c r="A145" s="4" t="s">
        <v>118</v>
      </c>
      <c r="B145" s="4" t="s">
        <v>27</v>
      </c>
      <c r="C145" s="1">
        <v>46223.183333333334</v>
      </c>
      <c r="D145" t="str">
        <f t="shared" si="2"/>
        <v>Returning User</v>
      </c>
    </row>
    <row r="146" spans="1:4" x14ac:dyDescent="0.45">
      <c r="A146" s="4" t="s">
        <v>115</v>
      </c>
      <c r="B146" s="4" t="s">
        <v>7</v>
      </c>
      <c r="C146" s="1">
        <v>46223.162499999999</v>
      </c>
      <c r="D146" t="str">
        <f t="shared" si="2"/>
        <v>New User</v>
      </c>
    </row>
    <row r="147" spans="1:4" x14ac:dyDescent="0.45">
      <c r="A147" s="4" t="s">
        <v>3</v>
      </c>
      <c r="B147" s="4" t="s">
        <v>7</v>
      </c>
      <c r="C147" s="1">
        <v>46223.166666666664</v>
      </c>
      <c r="D147" t="str">
        <f t="shared" si="2"/>
        <v>New User</v>
      </c>
    </row>
    <row r="148" spans="1:4" x14ac:dyDescent="0.45">
      <c r="A148" s="4" t="s">
        <v>119</v>
      </c>
      <c r="B148" s="4" t="s">
        <v>4</v>
      </c>
      <c r="C148" s="1">
        <v>46223.162499999999</v>
      </c>
      <c r="D148" t="str">
        <f t="shared" si="2"/>
        <v>Returning User</v>
      </c>
    </row>
    <row r="149" spans="1:4" x14ac:dyDescent="0.45">
      <c r="A149" s="4" t="s">
        <v>120</v>
      </c>
      <c r="B149" s="4" t="s">
        <v>7</v>
      </c>
      <c r="C149" s="1">
        <v>46223.157638888886</v>
      </c>
      <c r="D149" t="str">
        <f t="shared" si="2"/>
        <v>New User</v>
      </c>
    </row>
    <row r="150" spans="1:4" x14ac:dyDescent="0.45">
      <c r="A150" s="4" t="s">
        <v>116</v>
      </c>
      <c r="B150" s="4" t="s">
        <v>4</v>
      </c>
      <c r="C150" s="1">
        <v>46223.173611111109</v>
      </c>
      <c r="D150" t="str">
        <f t="shared" si="2"/>
        <v>Returning User</v>
      </c>
    </row>
    <row r="151" spans="1:4" x14ac:dyDescent="0.45">
      <c r="A151" s="4" t="s">
        <v>121</v>
      </c>
      <c r="B151" s="4" t="s">
        <v>4</v>
      </c>
      <c r="C151" s="1">
        <v>46223.167361111111</v>
      </c>
      <c r="D151" t="str">
        <f t="shared" si="2"/>
        <v>Returning User</v>
      </c>
    </row>
    <row r="152" spans="1:4" x14ac:dyDescent="0.45">
      <c r="A152" s="4" t="s">
        <v>37</v>
      </c>
      <c r="B152" s="4" t="s">
        <v>27</v>
      </c>
      <c r="C152" s="1">
        <v>46223.17291666667</v>
      </c>
      <c r="D152" t="str">
        <f t="shared" si="2"/>
        <v>Returning User</v>
      </c>
    </row>
    <row r="153" spans="1:4" x14ac:dyDescent="0.45">
      <c r="A153" s="4" t="s">
        <v>59</v>
      </c>
      <c r="B153" s="4" t="s">
        <v>4</v>
      </c>
      <c r="C153" s="1">
        <v>46223.168749999997</v>
      </c>
      <c r="D153" t="str">
        <f t="shared" si="2"/>
        <v>Returning User</v>
      </c>
    </row>
    <row r="154" spans="1:4" x14ac:dyDescent="0.45">
      <c r="A154" s="4" t="s">
        <v>122</v>
      </c>
      <c r="B154" s="4" t="s">
        <v>4</v>
      </c>
      <c r="C154" s="1">
        <v>46223.15625</v>
      </c>
      <c r="D154" t="str">
        <f t="shared" si="2"/>
        <v>Returning User</v>
      </c>
    </row>
    <row r="155" spans="1:4" x14ac:dyDescent="0.45">
      <c r="A155" s="4" t="s">
        <v>123</v>
      </c>
      <c r="B155" s="4" t="s">
        <v>7</v>
      </c>
      <c r="C155" s="1">
        <v>46223.170138888891</v>
      </c>
      <c r="D155" t="str">
        <f t="shared" si="2"/>
        <v>New User</v>
      </c>
    </row>
    <row r="156" spans="1:4" x14ac:dyDescent="0.45">
      <c r="A156" s="4" t="s">
        <v>57</v>
      </c>
      <c r="B156" s="4" t="s">
        <v>4</v>
      </c>
      <c r="C156" s="1">
        <v>46223.161111111112</v>
      </c>
      <c r="D156" t="str">
        <f t="shared" si="2"/>
        <v>Returning User</v>
      </c>
    </row>
    <row r="157" spans="1:4" x14ac:dyDescent="0.45">
      <c r="A157" s="4" t="s">
        <v>100</v>
      </c>
      <c r="B157" s="4" t="s">
        <v>27</v>
      </c>
      <c r="C157" s="1">
        <v>46223.172222222223</v>
      </c>
      <c r="D157" t="str">
        <f t="shared" si="2"/>
        <v>Returning User</v>
      </c>
    </row>
    <row r="158" spans="1:4" x14ac:dyDescent="0.45">
      <c r="A158" s="4" t="s">
        <v>124</v>
      </c>
      <c r="B158" s="4" t="s">
        <v>4</v>
      </c>
      <c r="C158" s="1">
        <v>46223.15902777778</v>
      </c>
      <c r="D158" t="str">
        <f t="shared" si="2"/>
        <v>Returning User</v>
      </c>
    </row>
    <row r="159" spans="1:4" x14ac:dyDescent="0.45">
      <c r="A159" s="4" t="s">
        <v>125</v>
      </c>
      <c r="B159" s="4" t="s">
        <v>4</v>
      </c>
      <c r="C159" s="1">
        <v>46223.180555555555</v>
      </c>
      <c r="D159" t="str">
        <f t="shared" si="2"/>
        <v>Returning User</v>
      </c>
    </row>
    <row r="160" spans="1:4" x14ac:dyDescent="0.45">
      <c r="A160" s="4" t="s">
        <v>126</v>
      </c>
      <c r="B160" s="4" t="s">
        <v>4</v>
      </c>
      <c r="C160" s="1">
        <v>46223.166666666664</v>
      </c>
      <c r="D160" t="str">
        <f t="shared" si="2"/>
        <v>Returning User</v>
      </c>
    </row>
    <row r="161" spans="1:4" x14ac:dyDescent="0.45">
      <c r="A161" s="4" t="s">
        <v>127</v>
      </c>
      <c r="B161" s="4" t="s">
        <v>4</v>
      </c>
      <c r="C161" s="1">
        <v>46223.172222222223</v>
      </c>
      <c r="D161" t="str">
        <f t="shared" si="2"/>
        <v>Returning User</v>
      </c>
    </row>
    <row r="162" spans="1:4" x14ac:dyDescent="0.45">
      <c r="A162" s="4" t="s">
        <v>98</v>
      </c>
      <c r="B162" s="4" t="s">
        <v>7</v>
      </c>
      <c r="C162" s="1">
        <v>46223.163888888892</v>
      </c>
      <c r="D162" t="str">
        <f t="shared" si="2"/>
        <v>New User</v>
      </c>
    </row>
    <row r="163" spans="1:4" x14ac:dyDescent="0.45">
      <c r="A163" s="4" t="s">
        <v>22</v>
      </c>
      <c r="B163" s="4" t="s">
        <v>7</v>
      </c>
      <c r="C163" s="1">
        <v>46223.168055555558</v>
      </c>
      <c r="D163" t="str">
        <f t="shared" si="2"/>
        <v>New User</v>
      </c>
    </row>
    <row r="164" spans="1:4" x14ac:dyDescent="0.45">
      <c r="A164" s="4" t="s">
        <v>128</v>
      </c>
      <c r="B164" s="4" t="s">
        <v>7</v>
      </c>
      <c r="C164" s="1">
        <v>46223.154861111114</v>
      </c>
      <c r="D164" t="str">
        <f t="shared" si="2"/>
        <v>New User</v>
      </c>
    </row>
    <row r="165" spans="1:4" x14ac:dyDescent="0.45">
      <c r="A165" s="4" t="s">
        <v>129</v>
      </c>
      <c r="B165" s="4" t="s">
        <v>4</v>
      </c>
      <c r="C165" s="1">
        <v>46223.15902777778</v>
      </c>
      <c r="D165" t="str">
        <f t="shared" si="2"/>
        <v>Returning User</v>
      </c>
    </row>
    <row r="166" spans="1:4" x14ac:dyDescent="0.45">
      <c r="A166" s="4" t="s">
        <v>95</v>
      </c>
      <c r="B166" s="4" t="s">
        <v>7</v>
      </c>
      <c r="C166" s="1">
        <v>46223.158333333333</v>
      </c>
      <c r="D166" t="str">
        <f t="shared" si="2"/>
        <v>New User</v>
      </c>
    </row>
    <row r="167" spans="1:4" x14ac:dyDescent="0.45">
      <c r="A167" s="4" t="s">
        <v>83</v>
      </c>
      <c r="B167" s="4" t="s">
        <v>7</v>
      </c>
      <c r="C167" s="1">
        <v>46223.157638888886</v>
      </c>
      <c r="D167" t="str">
        <f t="shared" si="2"/>
        <v>New User</v>
      </c>
    </row>
    <row r="168" spans="1:4" x14ac:dyDescent="0.45">
      <c r="A168" s="4" t="s">
        <v>73</v>
      </c>
      <c r="B168" s="4" t="s">
        <v>4</v>
      </c>
      <c r="C168" s="1">
        <v>46223.168749999997</v>
      </c>
      <c r="D168" t="str">
        <f t="shared" si="2"/>
        <v>Returning User</v>
      </c>
    </row>
    <row r="169" spans="1:4" x14ac:dyDescent="0.45">
      <c r="A169" s="4" t="s">
        <v>59</v>
      </c>
      <c r="B169" s="4" t="s">
        <v>27</v>
      </c>
      <c r="C169" s="1">
        <v>46223.184027777781</v>
      </c>
      <c r="D169" t="str">
        <f t="shared" si="2"/>
        <v>Returning User</v>
      </c>
    </row>
    <row r="170" spans="1:4" x14ac:dyDescent="0.45">
      <c r="A170" s="4" t="s">
        <v>130</v>
      </c>
      <c r="B170" s="4" t="s">
        <v>7</v>
      </c>
      <c r="C170" s="1">
        <v>46223.165972222225</v>
      </c>
      <c r="D170" t="str">
        <f t="shared" si="2"/>
        <v>New User</v>
      </c>
    </row>
    <row r="171" spans="1:4" x14ac:dyDescent="0.45">
      <c r="A171" s="4" t="s">
        <v>104</v>
      </c>
      <c r="B171" s="4" t="s">
        <v>4</v>
      </c>
      <c r="C171" s="1">
        <v>46223.175000000003</v>
      </c>
      <c r="D171" t="str">
        <f t="shared" si="2"/>
        <v>Returning User</v>
      </c>
    </row>
    <row r="172" spans="1:4" x14ac:dyDescent="0.45">
      <c r="A172" s="4" t="s">
        <v>131</v>
      </c>
      <c r="B172" s="4" t="s">
        <v>4</v>
      </c>
      <c r="C172" s="1">
        <v>46223.165972222225</v>
      </c>
      <c r="D172" t="str">
        <f t="shared" si="2"/>
        <v>Returning User</v>
      </c>
    </row>
    <row r="173" spans="1:4" x14ac:dyDescent="0.45">
      <c r="A173" s="4" t="s">
        <v>97</v>
      </c>
      <c r="B173" s="4" t="s">
        <v>13</v>
      </c>
      <c r="C173" s="1">
        <v>46223.193749999999</v>
      </c>
      <c r="D173" t="str">
        <f t="shared" si="2"/>
        <v>Returning User</v>
      </c>
    </row>
    <row r="174" spans="1:4" x14ac:dyDescent="0.45">
      <c r="A174" s="4" t="s">
        <v>132</v>
      </c>
      <c r="B174" s="4" t="s">
        <v>13</v>
      </c>
      <c r="C174" s="1">
        <v>46223.197916666664</v>
      </c>
      <c r="D174" t="str">
        <f t="shared" si="2"/>
        <v>Returning User</v>
      </c>
    </row>
    <row r="175" spans="1:4" x14ac:dyDescent="0.45">
      <c r="A175" s="4" t="s">
        <v>133</v>
      </c>
      <c r="B175" s="4" t="s">
        <v>27</v>
      </c>
      <c r="C175" s="1">
        <v>46223.178472222222</v>
      </c>
      <c r="D175" t="str">
        <f t="shared" si="2"/>
        <v>Returning User</v>
      </c>
    </row>
    <row r="176" spans="1:4" x14ac:dyDescent="0.45">
      <c r="A176" s="4" t="s">
        <v>88</v>
      </c>
      <c r="B176" s="4" t="s">
        <v>4</v>
      </c>
      <c r="C176" s="1">
        <v>46223.169444444444</v>
      </c>
      <c r="D176" t="str">
        <f t="shared" si="2"/>
        <v>Returning User</v>
      </c>
    </row>
    <row r="177" spans="1:4" x14ac:dyDescent="0.45">
      <c r="A177" s="4" t="s">
        <v>134</v>
      </c>
      <c r="B177" s="4" t="s">
        <v>7</v>
      </c>
      <c r="C177" s="1">
        <v>46223.156944444447</v>
      </c>
      <c r="D177" t="str">
        <f t="shared" si="2"/>
        <v>New User</v>
      </c>
    </row>
    <row r="178" spans="1:4" x14ac:dyDescent="0.45">
      <c r="A178" s="4" t="s">
        <v>84</v>
      </c>
      <c r="B178" s="4" t="s">
        <v>7</v>
      </c>
      <c r="C178" s="1">
        <v>46223.164583333331</v>
      </c>
      <c r="D178" t="str">
        <f t="shared" si="2"/>
        <v>New User</v>
      </c>
    </row>
    <row r="179" spans="1:4" x14ac:dyDescent="0.45">
      <c r="A179" s="4" t="s">
        <v>131</v>
      </c>
      <c r="B179" s="4" t="s">
        <v>27</v>
      </c>
      <c r="C179" s="1">
        <v>46223.170138888891</v>
      </c>
      <c r="D179" t="str">
        <f t="shared" si="2"/>
        <v>Returning User</v>
      </c>
    </row>
    <row r="180" spans="1:4" x14ac:dyDescent="0.45">
      <c r="A180" s="4" t="s">
        <v>35</v>
      </c>
      <c r="B180" s="4" t="s">
        <v>7</v>
      </c>
      <c r="C180" s="1">
        <v>46223.171527777777</v>
      </c>
      <c r="D180" t="str">
        <f t="shared" si="2"/>
        <v>New User</v>
      </c>
    </row>
    <row r="181" spans="1:4" x14ac:dyDescent="0.45">
      <c r="A181" s="4" t="s">
        <v>135</v>
      </c>
      <c r="B181" s="4" t="s">
        <v>40</v>
      </c>
      <c r="C181" s="1">
        <v>46223.214583333334</v>
      </c>
      <c r="D181" t="str">
        <f t="shared" si="2"/>
        <v>Returning User</v>
      </c>
    </row>
    <row r="182" spans="1:4" x14ac:dyDescent="0.45">
      <c r="A182" s="4" t="s">
        <v>99</v>
      </c>
      <c r="B182" s="4" t="s">
        <v>27</v>
      </c>
      <c r="C182" s="1">
        <v>46223.177083333336</v>
      </c>
      <c r="D182" t="str">
        <f t="shared" si="2"/>
        <v>Returning User</v>
      </c>
    </row>
    <row r="183" spans="1:4" x14ac:dyDescent="0.45">
      <c r="A183" s="4" t="s">
        <v>108</v>
      </c>
      <c r="B183" s="4" t="s">
        <v>7</v>
      </c>
      <c r="C183" s="1">
        <v>46223.17083333333</v>
      </c>
      <c r="D183" t="str">
        <f t="shared" si="2"/>
        <v>New User</v>
      </c>
    </row>
    <row r="184" spans="1:4" x14ac:dyDescent="0.45">
      <c r="A184" s="4" t="s">
        <v>136</v>
      </c>
      <c r="B184" s="4" t="s">
        <v>27</v>
      </c>
      <c r="C184" s="1">
        <v>46223.174305555556</v>
      </c>
      <c r="D184" t="str">
        <f t="shared" si="2"/>
        <v>Returning User</v>
      </c>
    </row>
    <row r="185" spans="1:4" x14ac:dyDescent="0.45">
      <c r="A185" s="4" t="s">
        <v>137</v>
      </c>
      <c r="B185" s="4" t="s">
        <v>7</v>
      </c>
      <c r="C185" s="1">
        <v>46223.164583333331</v>
      </c>
      <c r="D185" t="str">
        <f t="shared" si="2"/>
        <v>New User</v>
      </c>
    </row>
    <row r="186" spans="1:4" x14ac:dyDescent="0.45">
      <c r="A186" s="4" t="s">
        <v>138</v>
      </c>
      <c r="B186" s="4" t="s">
        <v>4</v>
      </c>
      <c r="C186" s="1">
        <v>46223.180555555555</v>
      </c>
      <c r="D186" t="str">
        <f t="shared" si="2"/>
        <v>Returning User</v>
      </c>
    </row>
    <row r="187" spans="1:4" x14ac:dyDescent="0.45">
      <c r="A187" s="4" t="s">
        <v>81</v>
      </c>
      <c r="B187" s="4" t="s">
        <v>4</v>
      </c>
      <c r="C187" s="1">
        <v>46223.179861111108</v>
      </c>
      <c r="D187" t="str">
        <f t="shared" si="2"/>
        <v>Returning User</v>
      </c>
    </row>
    <row r="188" spans="1:4" x14ac:dyDescent="0.45">
      <c r="A188" s="4" t="s">
        <v>125</v>
      </c>
      <c r="B188" s="4" t="s">
        <v>13</v>
      </c>
      <c r="C188" s="1">
        <v>46223.192361111112</v>
      </c>
      <c r="D188" t="str">
        <f t="shared" si="2"/>
        <v>Returning User</v>
      </c>
    </row>
    <row r="189" spans="1:4" x14ac:dyDescent="0.45">
      <c r="A189" s="4" t="s">
        <v>139</v>
      </c>
      <c r="B189" s="4" t="s">
        <v>7</v>
      </c>
      <c r="C189" s="1">
        <v>46223.15</v>
      </c>
      <c r="D189" t="str">
        <f t="shared" si="2"/>
        <v>New User</v>
      </c>
    </row>
    <row r="190" spans="1:4" x14ac:dyDescent="0.45">
      <c r="A190" s="4" t="s">
        <v>140</v>
      </c>
      <c r="B190" s="4" t="s">
        <v>13</v>
      </c>
      <c r="C190" s="1">
        <v>46223.186805555553</v>
      </c>
      <c r="D190" t="str">
        <f t="shared" si="2"/>
        <v>Returning User</v>
      </c>
    </row>
    <row r="191" spans="1:4" x14ac:dyDescent="0.45">
      <c r="A191" s="4" t="s">
        <v>141</v>
      </c>
      <c r="B191" s="4" t="s">
        <v>7</v>
      </c>
      <c r="C191" s="1">
        <v>46223.15347222222</v>
      </c>
      <c r="D191" t="str">
        <f t="shared" si="2"/>
        <v>New User</v>
      </c>
    </row>
    <row r="192" spans="1:4" x14ac:dyDescent="0.45">
      <c r="A192" s="4" t="s">
        <v>109</v>
      </c>
      <c r="B192" s="4" t="s">
        <v>7</v>
      </c>
      <c r="C192" s="1">
        <v>46223.166666666664</v>
      </c>
      <c r="D192" t="str">
        <f t="shared" si="2"/>
        <v>New User</v>
      </c>
    </row>
    <row r="193" spans="1:4" x14ac:dyDescent="0.45">
      <c r="A193" s="4" t="s">
        <v>60</v>
      </c>
      <c r="B193" s="4" t="s">
        <v>7</v>
      </c>
      <c r="C193" s="1">
        <v>46223.17291666667</v>
      </c>
      <c r="D193" t="str">
        <f t="shared" si="2"/>
        <v>New User</v>
      </c>
    </row>
    <row r="194" spans="1:4" x14ac:dyDescent="0.45">
      <c r="A194" s="4" t="s">
        <v>142</v>
      </c>
      <c r="B194" s="4" t="s">
        <v>27</v>
      </c>
      <c r="C194" s="1">
        <v>46223.186805555553</v>
      </c>
      <c r="D194" t="str">
        <f t="shared" ref="D194:D257" si="3">IF(B194="visited_site","New User",IF(AND(OR(B194="signup_started",B194="details_filled",B194="email_verified",B194="purchase_completed"),COUNTIFS($A:$A,A194,$B:$B,"visited_site")&gt;0),"Returning User","Unknown"))</f>
        <v>Returning User</v>
      </c>
    </row>
    <row r="195" spans="1:4" x14ac:dyDescent="0.45">
      <c r="A195" s="4" t="s">
        <v>21</v>
      </c>
      <c r="B195" s="4" t="s">
        <v>27</v>
      </c>
      <c r="C195" s="1">
        <v>46223.186805555553</v>
      </c>
      <c r="D195" t="str">
        <f t="shared" si="3"/>
        <v>Returning User</v>
      </c>
    </row>
    <row r="196" spans="1:4" x14ac:dyDescent="0.45">
      <c r="A196" s="4" t="s">
        <v>34</v>
      </c>
      <c r="B196" s="4" t="s">
        <v>27</v>
      </c>
      <c r="C196" s="1">
        <v>46223.177777777775</v>
      </c>
      <c r="D196" t="str">
        <f t="shared" si="3"/>
        <v>Returning User</v>
      </c>
    </row>
    <row r="197" spans="1:4" x14ac:dyDescent="0.45">
      <c r="A197" s="4" t="s">
        <v>129</v>
      </c>
      <c r="B197" s="4" t="s">
        <v>13</v>
      </c>
      <c r="C197" s="1">
        <v>46223.180555555555</v>
      </c>
      <c r="D197" t="str">
        <f t="shared" si="3"/>
        <v>Returning User</v>
      </c>
    </row>
    <row r="198" spans="1:4" x14ac:dyDescent="0.45">
      <c r="A198" s="4" t="s">
        <v>143</v>
      </c>
      <c r="B198" s="4" t="s">
        <v>7</v>
      </c>
      <c r="C198" s="1">
        <v>46223.158333333333</v>
      </c>
      <c r="D198" t="str">
        <f t="shared" si="3"/>
        <v>New User</v>
      </c>
    </row>
    <row r="199" spans="1:4" x14ac:dyDescent="0.45">
      <c r="A199" s="4" t="s">
        <v>134</v>
      </c>
      <c r="B199" s="4" t="s">
        <v>27</v>
      </c>
      <c r="C199" s="1">
        <v>46223.166666666664</v>
      </c>
      <c r="D199" t="str">
        <f t="shared" si="3"/>
        <v>Returning User</v>
      </c>
    </row>
    <row r="200" spans="1:4" x14ac:dyDescent="0.45">
      <c r="A200" s="4" t="s">
        <v>46</v>
      </c>
      <c r="B200" s="4" t="s">
        <v>4</v>
      </c>
      <c r="C200" s="1">
        <v>46223.169444444444</v>
      </c>
      <c r="D200" t="str">
        <f t="shared" si="3"/>
        <v>Returning User</v>
      </c>
    </row>
    <row r="201" spans="1:4" x14ac:dyDescent="0.45">
      <c r="A201" s="4" t="s">
        <v>125</v>
      </c>
      <c r="B201" s="4" t="s">
        <v>7</v>
      </c>
      <c r="C201" s="1">
        <v>46223.164583333331</v>
      </c>
      <c r="D201" t="str">
        <f t="shared" si="3"/>
        <v>New User</v>
      </c>
    </row>
    <row r="202" spans="1:4" x14ac:dyDescent="0.45">
      <c r="A202" s="4" t="s">
        <v>42</v>
      </c>
      <c r="B202" s="4" t="s">
        <v>4</v>
      </c>
      <c r="C202" s="1">
        <v>46223.171527777777</v>
      </c>
      <c r="D202" t="str">
        <f t="shared" si="3"/>
        <v>Returning User</v>
      </c>
    </row>
    <row r="203" spans="1:4" x14ac:dyDescent="0.45">
      <c r="A203" s="4" t="s">
        <v>71</v>
      </c>
      <c r="B203" s="4" t="s">
        <v>7</v>
      </c>
      <c r="C203" s="1">
        <v>46223.15625</v>
      </c>
      <c r="D203" t="str">
        <f t="shared" si="3"/>
        <v>New User</v>
      </c>
    </row>
    <row r="204" spans="1:4" x14ac:dyDescent="0.45">
      <c r="A204" s="4" t="s">
        <v>121</v>
      </c>
      <c r="B204" s="4" t="s">
        <v>27</v>
      </c>
      <c r="C204" s="1">
        <v>46223.175000000003</v>
      </c>
      <c r="D204" t="str">
        <f t="shared" si="3"/>
        <v>Returning User</v>
      </c>
    </row>
    <row r="205" spans="1:4" x14ac:dyDescent="0.45">
      <c r="A205" s="4" t="s">
        <v>56</v>
      </c>
      <c r="B205" s="4" t="s">
        <v>7</v>
      </c>
      <c r="C205" s="1">
        <v>46223.167361111111</v>
      </c>
      <c r="D205" t="str">
        <f t="shared" si="3"/>
        <v>New User</v>
      </c>
    </row>
    <row r="206" spans="1:4" x14ac:dyDescent="0.45">
      <c r="A206" s="4" t="s">
        <v>144</v>
      </c>
      <c r="B206" s="4" t="s">
        <v>4</v>
      </c>
      <c r="C206" s="1">
        <v>46223.168749999997</v>
      </c>
      <c r="D206" t="str">
        <f t="shared" si="3"/>
        <v>Returning User</v>
      </c>
    </row>
    <row r="207" spans="1:4" x14ac:dyDescent="0.45">
      <c r="A207" s="4" t="s">
        <v>107</v>
      </c>
      <c r="B207" s="4" t="s">
        <v>4</v>
      </c>
      <c r="C207" s="1">
        <v>46223.158333333333</v>
      </c>
      <c r="D207" t="str">
        <f t="shared" si="3"/>
        <v>Returning User</v>
      </c>
    </row>
    <row r="208" spans="1:4" x14ac:dyDescent="0.45">
      <c r="A208" s="4" t="s">
        <v>96</v>
      </c>
      <c r="B208" s="4" t="s">
        <v>7</v>
      </c>
      <c r="C208" s="1">
        <v>46223.147222222222</v>
      </c>
      <c r="D208" t="str">
        <f t="shared" si="3"/>
        <v>New User</v>
      </c>
    </row>
    <row r="209" spans="1:4" x14ac:dyDescent="0.45">
      <c r="A209" s="4" t="s">
        <v>17</v>
      </c>
      <c r="B209" s="4" t="s">
        <v>40</v>
      </c>
      <c r="C209" s="1">
        <v>46223.1875</v>
      </c>
      <c r="D209" t="str">
        <f t="shared" si="3"/>
        <v>Returning User</v>
      </c>
    </row>
    <row r="210" spans="1:4" x14ac:dyDescent="0.45">
      <c r="A210" s="4" t="s">
        <v>103</v>
      </c>
      <c r="B210" s="4" t="s">
        <v>4</v>
      </c>
      <c r="C210" s="1">
        <v>46223.165277777778</v>
      </c>
      <c r="D210" t="str">
        <f t="shared" si="3"/>
        <v>Returning User</v>
      </c>
    </row>
    <row r="211" spans="1:4" x14ac:dyDescent="0.45">
      <c r="A211" s="4" t="s">
        <v>132</v>
      </c>
      <c r="B211" s="4" t="s">
        <v>4</v>
      </c>
      <c r="C211" s="1">
        <v>46223.157638888886</v>
      </c>
      <c r="D211" t="str">
        <f t="shared" si="3"/>
        <v>Returning User</v>
      </c>
    </row>
    <row r="212" spans="1:4" x14ac:dyDescent="0.45">
      <c r="A212" s="4" t="s">
        <v>88</v>
      </c>
      <c r="B212" s="4" t="s">
        <v>27</v>
      </c>
      <c r="C212" s="1">
        <v>46223.169444444444</v>
      </c>
      <c r="D212" t="str">
        <f t="shared" si="3"/>
        <v>Returning User</v>
      </c>
    </row>
    <row r="213" spans="1:4" x14ac:dyDescent="0.45">
      <c r="A213" s="4" t="s">
        <v>145</v>
      </c>
      <c r="B213" s="4" t="s">
        <v>4</v>
      </c>
      <c r="C213" s="1">
        <v>46223.160416666666</v>
      </c>
      <c r="D213" t="str">
        <f t="shared" si="3"/>
        <v>Returning User</v>
      </c>
    </row>
    <row r="214" spans="1:4" x14ac:dyDescent="0.45">
      <c r="A214" s="4" t="s">
        <v>146</v>
      </c>
      <c r="B214" s="4" t="s">
        <v>27</v>
      </c>
      <c r="C214" s="1">
        <v>46223.188194444447</v>
      </c>
      <c r="D214" t="str">
        <f t="shared" si="3"/>
        <v>Returning User</v>
      </c>
    </row>
    <row r="215" spans="1:4" x14ac:dyDescent="0.45">
      <c r="A215" s="4" t="s">
        <v>147</v>
      </c>
      <c r="B215" s="4" t="s">
        <v>4</v>
      </c>
      <c r="C215" s="1">
        <v>46223.176388888889</v>
      </c>
      <c r="D215" t="str">
        <f t="shared" si="3"/>
        <v>Returning User</v>
      </c>
    </row>
    <row r="216" spans="1:4" x14ac:dyDescent="0.45">
      <c r="A216" s="4" t="s">
        <v>148</v>
      </c>
      <c r="B216" s="4" t="s">
        <v>7</v>
      </c>
      <c r="C216" s="1">
        <v>46223.172222222223</v>
      </c>
      <c r="D216" t="str">
        <f t="shared" si="3"/>
        <v>New User</v>
      </c>
    </row>
    <row r="217" spans="1:4" x14ac:dyDescent="0.45">
      <c r="A217" s="4" t="s">
        <v>120</v>
      </c>
      <c r="B217" s="4" t="s">
        <v>27</v>
      </c>
      <c r="C217" s="1">
        <v>46223.176388888889</v>
      </c>
      <c r="D217" t="str">
        <f t="shared" si="3"/>
        <v>Returning User</v>
      </c>
    </row>
    <row r="218" spans="1:4" x14ac:dyDescent="0.45">
      <c r="A218" s="4" t="s">
        <v>149</v>
      </c>
      <c r="B218" s="4" t="s">
        <v>4</v>
      </c>
      <c r="C218" s="1">
        <v>46223.15902777778</v>
      </c>
      <c r="D218" t="str">
        <f t="shared" si="3"/>
        <v>Returning User</v>
      </c>
    </row>
    <row r="219" spans="1:4" x14ac:dyDescent="0.45">
      <c r="A219" s="4" t="s">
        <v>15</v>
      </c>
      <c r="B219" s="4" t="s">
        <v>7</v>
      </c>
      <c r="C219" s="1">
        <v>46223.155555555553</v>
      </c>
      <c r="D219" t="str">
        <f t="shared" si="3"/>
        <v>New User</v>
      </c>
    </row>
    <row r="220" spans="1:4" x14ac:dyDescent="0.45">
      <c r="A220" s="4" t="s">
        <v>48</v>
      </c>
      <c r="B220" s="4" t="s">
        <v>4</v>
      </c>
      <c r="C220" s="1">
        <v>46223.181250000001</v>
      </c>
      <c r="D220" t="str">
        <f t="shared" si="3"/>
        <v>Returning User</v>
      </c>
    </row>
    <row r="221" spans="1:4" x14ac:dyDescent="0.45">
      <c r="A221" s="4" t="s">
        <v>150</v>
      </c>
      <c r="B221" s="4" t="s">
        <v>4</v>
      </c>
      <c r="C221" s="1">
        <v>46223.180555555555</v>
      </c>
      <c r="D221" t="str">
        <f t="shared" si="3"/>
        <v>Returning User</v>
      </c>
    </row>
    <row r="222" spans="1:4" x14ac:dyDescent="0.45">
      <c r="A222" s="4" t="s">
        <v>151</v>
      </c>
      <c r="B222" s="4" t="s">
        <v>27</v>
      </c>
      <c r="C222" s="1">
        <v>46223.166666666664</v>
      </c>
      <c r="D222" t="str">
        <f t="shared" si="3"/>
        <v>Returning User</v>
      </c>
    </row>
    <row r="223" spans="1:4" x14ac:dyDescent="0.45">
      <c r="A223" s="4" t="s">
        <v>152</v>
      </c>
      <c r="B223" s="4" t="s">
        <v>4</v>
      </c>
      <c r="C223" s="1">
        <v>46223.169444444444</v>
      </c>
      <c r="D223" t="str">
        <f t="shared" si="3"/>
        <v>Returning User</v>
      </c>
    </row>
    <row r="224" spans="1:4" x14ac:dyDescent="0.45">
      <c r="A224" s="4" t="s">
        <v>153</v>
      </c>
      <c r="B224" s="4" t="s">
        <v>4</v>
      </c>
      <c r="C224" s="1">
        <v>46223.158333333333</v>
      </c>
      <c r="D224" t="str">
        <f t="shared" si="3"/>
        <v>Returning User</v>
      </c>
    </row>
    <row r="225" spans="1:4" x14ac:dyDescent="0.45">
      <c r="A225" s="4" t="s">
        <v>30</v>
      </c>
      <c r="B225" s="4" t="s">
        <v>4</v>
      </c>
      <c r="C225" s="1">
        <v>46223.179166666669</v>
      </c>
      <c r="D225" t="str">
        <f t="shared" si="3"/>
        <v>Returning User</v>
      </c>
    </row>
    <row r="226" spans="1:4" x14ac:dyDescent="0.45">
      <c r="A226" s="4" t="s">
        <v>119</v>
      </c>
      <c r="B226" s="4" t="s">
        <v>7</v>
      </c>
      <c r="C226" s="1">
        <v>46223.149305555555</v>
      </c>
      <c r="D226" t="str">
        <f t="shared" si="3"/>
        <v>New User</v>
      </c>
    </row>
    <row r="227" spans="1:4" x14ac:dyDescent="0.45">
      <c r="A227" s="4" t="s">
        <v>154</v>
      </c>
      <c r="B227" s="4" t="s">
        <v>4</v>
      </c>
      <c r="C227" s="1">
        <v>46223.160416666666</v>
      </c>
      <c r="D227" t="str">
        <f t="shared" si="3"/>
        <v>Returning User</v>
      </c>
    </row>
    <row r="228" spans="1:4" x14ac:dyDescent="0.45">
      <c r="A228" s="4" t="s">
        <v>115</v>
      </c>
      <c r="B228" s="4" t="s">
        <v>13</v>
      </c>
      <c r="C228" s="1">
        <v>46223.1875</v>
      </c>
      <c r="D228" t="str">
        <f t="shared" si="3"/>
        <v>Returning User</v>
      </c>
    </row>
    <row r="229" spans="1:4" x14ac:dyDescent="0.45">
      <c r="A229" s="4" t="s">
        <v>24</v>
      </c>
      <c r="B229" s="4" t="s">
        <v>13</v>
      </c>
      <c r="C229" s="1">
        <v>46223.185416666667</v>
      </c>
      <c r="D229" t="str">
        <f t="shared" si="3"/>
        <v>Returning User</v>
      </c>
    </row>
    <row r="230" spans="1:4" x14ac:dyDescent="0.45">
      <c r="A230" s="4" t="s">
        <v>109</v>
      </c>
      <c r="B230" s="4" t="s">
        <v>4</v>
      </c>
      <c r="C230" s="1">
        <v>46223.161805555559</v>
      </c>
      <c r="D230" t="str">
        <f t="shared" si="3"/>
        <v>Returning User</v>
      </c>
    </row>
    <row r="231" spans="1:4" x14ac:dyDescent="0.45">
      <c r="A231" s="4" t="s">
        <v>147</v>
      </c>
      <c r="B231" s="4" t="s">
        <v>7</v>
      </c>
      <c r="C231" s="1">
        <v>46223.154166666667</v>
      </c>
      <c r="D231" t="str">
        <f t="shared" si="3"/>
        <v>New User</v>
      </c>
    </row>
    <row r="232" spans="1:4" x14ac:dyDescent="0.45">
      <c r="A232" s="4" t="s">
        <v>155</v>
      </c>
      <c r="B232" s="4" t="s">
        <v>7</v>
      </c>
      <c r="C232" s="1">
        <v>46223.149305555555</v>
      </c>
      <c r="D232" t="str">
        <f t="shared" si="3"/>
        <v>New User</v>
      </c>
    </row>
    <row r="233" spans="1:4" x14ac:dyDescent="0.45">
      <c r="A233" s="4" t="s">
        <v>122</v>
      </c>
      <c r="B233" s="4" t="s">
        <v>7</v>
      </c>
      <c r="C233" s="1">
        <v>46223.158333333333</v>
      </c>
      <c r="D233" t="str">
        <f t="shared" si="3"/>
        <v>New User</v>
      </c>
    </row>
    <row r="234" spans="1:4" x14ac:dyDescent="0.45">
      <c r="A234" s="4" t="s">
        <v>150</v>
      </c>
      <c r="B234" s="4" t="s">
        <v>7</v>
      </c>
      <c r="C234" s="1">
        <v>46223.161111111112</v>
      </c>
      <c r="D234" t="str">
        <f t="shared" si="3"/>
        <v>New User</v>
      </c>
    </row>
    <row r="235" spans="1:4" x14ac:dyDescent="0.45">
      <c r="A235" s="4" t="s">
        <v>144</v>
      </c>
      <c r="B235" s="4" t="s">
        <v>7</v>
      </c>
      <c r="C235" s="1">
        <v>46223.147222222222</v>
      </c>
      <c r="D235" t="str">
        <f t="shared" si="3"/>
        <v>New User</v>
      </c>
    </row>
    <row r="236" spans="1:4" x14ac:dyDescent="0.45">
      <c r="A236" s="4" t="s">
        <v>143</v>
      </c>
      <c r="B236" s="4" t="s">
        <v>40</v>
      </c>
      <c r="C236" s="1">
        <v>46223.193055555559</v>
      </c>
      <c r="D236" t="str">
        <f t="shared" si="3"/>
        <v>Returning User</v>
      </c>
    </row>
    <row r="237" spans="1:4" x14ac:dyDescent="0.45">
      <c r="A237" s="4" t="s">
        <v>156</v>
      </c>
      <c r="B237" s="4" t="s">
        <v>7</v>
      </c>
      <c r="C237" s="1">
        <v>46223.172222222223</v>
      </c>
      <c r="D237" t="str">
        <f t="shared" si="3"/>
        <v>New User</v>
      </c>
    </row>
    <row r="238" spans="1:4" x14ac:dyDescent="0.45">
      <c r="A238" s="4" t="s">
        <v>157</v>
      </c>
      <c r="B238" s="4" t="s">
        <v>4</v>
      </c>
      <c r="C238" s="1">
        <v>46223.164583333331</v>
      </c>
      <c r="D238" t="str">
        <f t="shared" si="3"/>
        <v>Returning User</v>
      </c>
    </row>
    <row r="239" spans="1:4" x14ac:dyDescent="0.45">
      <c r="A239" s="4" t="s">
        <v>96</v>
      </c>
      <c r="B239" s="4" t="s">
        <v>27</v>
      </c>
      <c r="C239" s="1">
        <v>46223.171527777777</v>
      </c>
      <c r="D239" t="str">
        <f t="shared" si="3"/>
        <v>Returning User</v>
      </c>
    </row>
    <row r="240" spans="1:4" x14ac:dyDescent="0.45">
      <c r="A240" s="4" t="s">
        <v>35</v>
      </c>
      <c r="B240" s="4" t="s">
        <v>40</v>
      </c>
      <c r="C240" s="1">
        <v>46223.201388888891</v>
      </c>
      <c r="D240" t="str">
        <f t="shared" si="3"/>
        <v>Returning User</v>
      </c>
    </row>
    <row r="241" spans="1:4" x14ac:dyDescent="0.45">
      <c r="A241" s="4" t="s">
        <v>138</v>
      </c>
      <c r="B241" s="4" t="s">
        <v>13</v>
      </c>
      <c r="C241" s="1">
        <v>46223.179166666669</v>
      </c>
      <c r="D241" t="str">
        <f t="shared" si="3"/>
        <v>Returning User</v>
      </c>
    </row>
    <row r="242" spans="1:4" x14ac:dyDescent="0.45">
      <c r="A242" s="4" t="s">
        <v>89</v>
      </c>
      <c r="B242" s="4" t="s">
        <v>4</v>
      </c>
      <c r="C242" s="1">
        <v>46223.181250000001</v>
      </c>
      <c r="D242" t="str">
        <f t="shared" si="3"/>
        <v>Returning User</v>
      </c>
    </row>
    <row r="243" spans="1:4" x14ac:dyDescent="0.45">
      <c r="A243" s="4" t="s">
        <v>158</v>
      </c>
      <c r="B243" s="4" t="s">
        <v>4</v>
      </c>
      <c r="C243" s="1">
        <v>46223.158333333333</v>
      </c>
      <c r="D243" t="str">
        <f t="shared" si="3"/>
        <v>Returning User</v>
      </c>
    </row>
    <row r="244" spans="1:4" x14ac:dyDescent="0.45">
      <c r="A244" s="4" t="s">
        <v>159</v>
      </c>
      <c r="B244" s="4" t="s">
        <v>7</v>
      </c>
      <c r="C244" s="1">
        <v>46223.163194444445</v>
      </c>
      <c r="D244" t="str">
        <f t="shared" si="3"/>
        <v>New User</v>
      </c>
    </row>
    <row r="245" spans="1:4" x14ac:dyDescent="0.45">
      <c r="A245" s="4" t="s">
        <v>160</v>
      </c>
      <c r="B245" s="4" t="s">
        <v>7</v>
      </c>
      <c r="C245" s="1">
        <v>46223.165277777778</v>
      </c>
      <c r="D245" t="str">
        <f t="shared" si="3"/>
        <v>New User</v>
      </c>
    </row>
    <row r="246" spans="1:4" x14ac:dyDescent="0.45">
      <c r="A246" s="4" t="s">
        <v>156</v>
      </c>
      <c r="B246" s="4" t="s">
        <v>4</v>
      </c>
      <c r="C246" s="1">
        <v>46223.17083333333</v>
      </c>
      <c r="D246" t="str">
        <f t="shared" si="3"/>
        <v>Returning User</v>
      </c>
    </row>
    <row r="247" spans="1:4" x14ac:dyDescent="0.45">
      <c r="A247" s="4" t="s">
        <v>161</v>
      </c>
      <c r="B247" s="4" t="s">
        <v>7</v>
      </c>
      <c r="C247" s="1">
        <v>46223.169444444444</v>
      </c>
      <c r="D247" t="str">
        <f t="shared" si="3"/>
        <v>New User</v>
      </c>
    </row>
    <row r="248" spans="1:4" x14ac:dyDescent="0.45">
      <c r="A248" s="4" t="s">
        <v>51</v>
      </c>
      <c r="B248" s="4" t="s">
        <v>4</v>
      </c>
      <c r="C248" s="1">
        <v>46223.176388888889</v>
      </c>
      <c r="D248" t="str">
        <f t="shared" si="3"/>
        <v>Returning User</v>
      </c>
    </row>
    <row r="249" spans="1:4" x14ac:dyDescent="0.45">
      <c r="A249" s="4" t="s">
        <v>162</v>
      </c>
      <c r="B249" s="4" t="s">
        <v>7</v>
      </c>
      <c r="C249" s="1">
        <v>46223.172222222223</v>
      </c>
      <c r="D249" t="str">
        <f t="shared" si="3"/>
        <v>New User</v>
      </c>
    </row>
    <row r="250" spans="1:4" x14ac:dyDescent="0.45">
      <c r="A250" s="4" t="s">
        <v>161</v>
      </c>
      <c r="B250" s="4" t="s">
        <v>4</v>
      </c>
      <c r="C250" s="1">
        <v>46223.175000000003</v>
      </c>
      <c r="D250" t="str">
        <f t="shared" si="3"/>
        <v>Returning User</v>
      </c>
    </row>
    <row r="251" spans="1:4" x14ac:dyDescent="0.45">
      <c r="A251" s="4" t="s">
        <v>163</v>
      </c>
      <c r="B251" s="4" t="s">
        <v>7</v>
      </c>
      <c r="C251" s="1">
        <v>46223.165972222225</v>
      </c>
      <c r="D251" t="str">
        <f t="shared" si="3"/>
        <v>New User</v>
      </c>
    </row>
    <row r="252" spans="1:4" x14ac:dyDescent="0.45">
      <c r="A252" s="4" t="s">
        <v>164</v>
      </c>
      <c r="B252" s="4" t="s">
        <v>7</v>
      </c>
      <c r="C252" s="1">
        <v>46223.15347222222</v>
      </c>
      <c r="D252" t="str">
        <f t="shared" si="3"/>
        <v>New User</v>
      </c>
    </row>
    <row r="253" spans="1:4" x14ac:dyDescent="0.45">
      <c r="A253" s="4" t="s">
        <v>110</v>
      </c>
      <c r="B253" s="4" t="s">
        <v>4</v>
      </c>
      <c r="C253" s="1">
        <v>46223.180555555555</v>
      </c>
      <c r="D253" t="str">
        <f t="shared" si="3"/>
        <v>Returning User</v>
      </c>
    </row>
    <row r="254" spans="1:4" x14ac:dyDescent="0.45">
      <c r="A254" s="4" t="s">
        <v>74</v>
      </c>
      <c r="B254" s="4" t="s">
        <v>13</v>
      </c>
      <c r="C254" s="1">
        <v>46223.193055555559</v>
      </c>
      <c r="D254" t="str">
        <f t="shared" si="3"/>
        <v>Returning User</v>
      </c>
    </row>
    <row r="255" spans="1:4" x14ac:dyDescent="0.45">
      <c r="A255" s="4" t="s">
        <v>165</v>
      </c>
      <c r="B255" s="4" t="s">
        <v>4</v>
      </c>
      <c r="C255" s="1">
        <v>46223.172222222223</v>
      </c>
      <c r="D255" t="str">
        <f t="shared" si="3"/>
        <v>Returning User</v>
      </c>
    </row>
    <row r="256" spans="1:4" x14ac:dyDescent="0.45">
      <c r="A256" s="4" t="s">
        <v>166</v>
      </c>
      <c r="B256" s="4" t="s">
        <v>4</v>
      </c>
      <c r="C256" s="1">
        <v>46223.167361111111</v>
      </c>
      <c r="D256" t="str">
        <f t="shared" si="3"/>
        <v>Returning User</v>
      </c>
    </row>
    <row r="257" spans="1:4" x14ac:dyDescent="0.45">
      <c r="A257" s="4" t="s">
        <v>148</v>
      </c>
      <c r="B257" s="4" t="s">
        <v>40</v>
      </c>
      <c r="C257" s="1">
        <v>46223.197222222225</v>
      </c>
      <c r="D257" t="str">
        <f t="shared" si="3"/>
        <v>Returning User</v>
      </c>
    </row>
    <row r="258" spans="1:4" x14ac:dyDescent="0.45">
      <c r="A258" s="4" t="s">
        <v>147</v>
      </c>
      <c r="B258" s="4" t="s">
        <v>13</v>
      </c>
      <c r="C258" s="1">
        <v>46223.196527777778</v>
      </c>
      <c r="D258" t="str">
        <f t="shared" ref="D258:D321" si="4">IF(B258="visited_site","New User",IF(AND(OR(B258="signup_started",B258="details_filled",B258="email_verified",B258="purchase_completed"),COUNTIFS($A:$A,A258,$B:$B,"visited_site")&gt;0),"Returning User","Unknown"))</f>
        <v>Returning User</v>
      </c>
    </row>
    <row r="259" spans="1:4" x14ac:dyDescent="0.45">
      <c r="A259" s="4" t="s">
        <v>90</v>
      </c>
      <c r="B259" s="4" t="s">
        <v>13</v>
      </c>
      <c r="C259" s="1">
        <v>46223.199999999997</v>
      </c>
      <c r="D259" t="str">
        <f t="shared" si="4"/>
        <v>Returning User</v>
      </c>
    </row>
    <row r="260" spans="1:4" x14ac:dyDescent="0.45">
      <c r="A260" s="4" t="s">
        <v>98</v>
      </c>
      <c r="B260" s="4" t="s">
        <v>27</v>
      </c>
      <c r="C260" s="1">
        <v>46223.190972222219</v>
      </c>
      <c r="D260" t="str">
        <f t="shared" si="4"/>
        <v>Returning User</v>
      </c>
    </row>
    <row r="261" spans="1:4" x14ac:dyDescent="0.45">
      <c r="A261" s="4" t="s">
        <v>44</v>
      </c>
      <c r="B261" s="4" t="s">
        <v>27</v>
      </c>
      <c r="C261" s="1">
        <v>46223.177777777775</v>
      </c>
      <c r="D261" t="str">
        <f t="shared" si="4"/>
        <v>Returning User</v>
      </c>
    </row>
    <row r="262" spans="1:4" x14ac:dyDescent="0.45">
      <c r="A262" s="4" t="s">
        <v>167</v>
      </c>
      <c r="B262" s="4" t="s">
        <v>7</v>
      </c>
      <c r="C262" s="1">
        <v>46223.152083333334</v>
      </c>
      <c r="D262" t="str">
        <f t="shared" si="4"/>
        <v>New User</v>
      </c>
    </row>
    <row r="263" spans="1:4" x14ac:dyDescent="0.45">
      <c r="A263" s="4" t="s">
        <v>92</v>
      </c>
      <c r="B263" s="4" t="s">
        <v>4</v>
      </c>
      <c r="C263" s="1">
        <v>46223.156944444447</v>
      </c>
      <c r="D263" t="str">
        <f t="shared" si="4"/>
        <v>Returning User</v>
      </c>
    </row>
    <row r="264" spans="1:4" x14ac:dyDescent="0.45">
      <c r="A264" s="4" t="s">
        <v>140</v>
      </c>
      <c r="B264" s="4" t="s">
        <v>4</v>
      </c>
      <c r="C264" s="1">
        <v>46223.15625</v>
      </c>
      <c r="D264" t="str">
        <f t="shared" si="4"/>
        <v>Returning User</v>
      </c>
    </row>
    <row r="265" spans="1:4" x14ac:dyDescent="0.45">
      <c r="A265" s="4" t="s">
        <v>61</v>
      </c>
      <c r="B265" s="4" t="s">
        <v>40</v>
      </c>
      <c r="C265" s="1">
        <v>46223.206250000003</v>
      </c>
      <c r="D265" t="str">
        <f t="shared" si="4"/>
        <v>Returning User</v>
      </c>
    </row>
    <row r="266" spans="1:4" x14ac:dyDescent="0.45">
      <c r="A266" s="4" t="s">
        <v>168</v>
      </c>
      <c r="B266" s="4" t="s">
        <v>7</v>
      </c>
      <c r="C266" s="1">
        <v>46223.147222222222</v>
      </c>
      <c r="D266" t="str">
        <f t="shared" si="4"/>
        <v>New User</v>
      </c>
    </row>
    <row r="267" spans="1:4" x14ac:dyDescent="0.45">
      <c r="A267" s="4" t="s">
        <v>165</v>
      </c>
      <c r="B267" s="4" t="s">
        <v>40</v>
      </c>
      <c r="C267" s="1">
        <v>46223.19027777778</v>
      </c>
      <c r="D267" t="str">
        <f t="shared" si="4"/>
        <v>Returning User</v>
      </c>
    </row>
    <row r="268" spans="1:4" x14ac:dyDescent="0.45">
      <c r="A268" s="4" t="s">
        <v>23</v>
      </c>
      <c r="B268" s="4" t="s">
        <v>7</v>
      </c>
      <c r="C268" s="1">
        <v>46223.154861111114</v>
      </c>
      <c r="D268" t="str">
        <f t="shared" si="4"/>
        <v>New User</v>
      </c>
    </row>
    <row r="269" spans="1:4" x14ac:dyDescent="0.45">
      <c r="A269" s="4" t="s">
        <v>169</v>
      </c>
      <c r="B269" s="4" t="s">
        <v>4</v>
      </c>
      <c r="C269" s="1">
        <v>46223.159722222219</v>
      </c>
      <c r="D269" t="str">
        <f t="shared" si="4"/>
        <v>Returning User</v>
      </c>
    </row>
    <row r="270" spans="1:4" x14ac:dyDescent="0.45">
      <c r="A270" s="4" t="s">
        <v>170</v>
      </c>
      <c r="B270" s="4" t="s">
        <v>4</v>
      </c>
      <c r="C270" s="1">
        <v>46223.177083333336</v>
      </c>
      <c r="D270" t="str">
        <f t="shared" si="4"/>
        <v>Returning User</v>
      </c>
    </row>
    <row r="271" spans="1:4" x14ac:dyDescent="0.45">
      <c r="A271" s="4" t="s">
        <v>121</v>
      </c>
      <c r="B271" s="4" t="s">
        <v>7</v>
      </c>
      <c r="C271" s="1">
        <v>46223.148611111108</v>
      </c>
      <c r="D271" t="str">
        <f t="shared" si="4"/>
        <v>New User</v>
      </c>
    </row>
    <row r="272" spans="1:4" x14ac:dyDescent="0.45">
      <c r="A272" s="4" t="s">
        <v>171</v>
      </c>
      <c r="B272" s="4" t="s">
        <v>7</v>
      </c>
      <c r="C272" s="1">
        <v>46223.161111111112</v>
      </c>
      <c r="D272" t="str">
        <f t="shared" si="4"/>
        <v>New User</v>
      </c>
    </row>
    <row r="273" spans="1:4" x14ac:dyDescent="0.45">
      <c r="A273" s="4" t="s">
        <v>149</v>
      </c>
      <c r="B273" s="4" t="s">
        <v>7</v>
      </c>
      <c r="C273" s="1">
        <v>46223.149305555555</v>
      </c>
      <c r="D273" t="str">
        <f t="shared" si="4"/>
        <v>New User</v>
      </c>
    </row>
    <row r="274" spans="1:4" x14ac:dyDescent="0.45">
      <c r="A274" s="4" t="s">
        <v>172</v>
      </c>
      <c r="B274" s="4" t="s">
        <v>7</v>
      </c>
      <c r="C274" s="1">
        <v>46223.161805555559</v>
      </c>
      <c r="D274" t="str">
        <f t="shared" si="4"/>
        <v>New User</v>
      </c>
    </row>
    <row r="275" spans="1:4" x14ac:dyDescent="0.45">
      <c r="A275" s="4" t="s">
        <v>173</v>
      </c>
      <c r="B275" s="4" t="s">
        <v>4</v>
      </c>
      <c r="C275" s="1">
        <v>46223.157638888886</v>
      </c>
      <c r="D275" t="str">
        <f t="shared" si="4"/>
        <v>Returning User</v>
      </c>
    </row>
    <row r="276" spans="1:4" x14ac:dyDescent="0.45">
      <c r="A276" s="4" t="s">
        <v>165</v>
      </c>
      <c r="B276" s="4" t="s">
        <v>7</v>
      </c>
      <c r="C276" s="1">
        <v>46223.150694444441</v>
      </c>
      <c r="D276" t="str">
        <f t="shared" si="4"/>
        <v>New User</v>
      </c>
    </row>
    <row r="277" spans="1:4" x14ac:dyDescent="0.45">
      <c r="A277" s="4" t="s">
        <v>110</v>
      </c>
      <c r="B277" s="4" t="s">
        <v>7</v>
      </c>
      <c r="C277" s="1">
        <v>46223.160416666666</v>
      </c>
      <c r="D277" t="str">
        <f t="shared" si="4"/>
        <v>New User</v>
      </c>
    </row>
    <row r="278" spans="1:4" x14ac:dyDescent="0.45">
      <c r="A278" s="4" t="s">
        <v>174</v>
      </c>
      <c r="B278" s="4" t="s">
        <v>13</v>
      </c>
      <c r="C278" s="1">
        <v>46223.181944444441</v>
      </c>
      <c r="D278" t="str">
        <f t="shared" si="4"/>
        <v>Returning User</v>
      </c>
    </row>
    <row r="279" spans="1:4" x14ac:dyDescent="0.45">
      <c r="A279" s="4" t="s">
        <v>31</v>
      </c>
      <c r="B279" s="4" t="s">
        <v>7</v>
      </c>
      <c r="C279" s="1">
        <v>46223.165277777778</v>
      </c>
      <c r="D279" t="str">
        <f t="shared" si="4"/>
        <v>New User</v>
      </c>
    </row>
    <row r="280" spans="1:4" x14ac:dyDescent="0.45">
      <c r="A280" s="4" t="s">
        <v>141</v>
      </c>
      <c r="B280" s="4" t="s">
        <v>4</v>
      </c>
      <c r="C280" s="1">
        <v>46223.17083333333</v>
      </c>
      <c r="D280" t="str">
        <f t="shared" si="4"/>
        <v>Returning User</v>
      </c>
    </row>
    <row r="281" spans="1:4" x14ac:dyDescent="0.45">
      <c r="A281" s="4" t="s">
        <v>175</v>
      </c>
      <c r="B281" s="4" t="s">
        <v>7</v>
      </c>
      <c r="C281" s="1">
        <v>46223.162499999999</v>
      </c>
      <c r="D281" t="str">
        <f t="shared" si="4"/>
        <v>New User</v>
      </c>
    </row>
    <row r="282" spans="1:4" x14ac:dyDescent="0.45">
      <c r="A282" s="4" t="s">
        <v>70</v>
      </c>
      <c r="B282" s="4" t="s">
        <v>7</v>
      </c>
      <c r="C282" s="1">
        <v>46223.158333333333</v>
      </c>
      <c r="D282" t="str">
        <f t="shared" si="4"/>
        <v>New User</v>
      </c>
    </row>
    <row r="283" spans="1:4" x14ac:dyDescent="0.45">
      <c r="A283" s="4" t="s">
        <v>176</v>
      </c>
      <c r="B283" s="4" t="s">
        <v>7</v>
      </c>
      <c r="C283" s="1">
        <v>46223.152083333334</v>
      </c>
      <c r="D283" t="str">
        <f t="shared" si="4"/>
        <v>New User</v>
      </c>
    </row>
    <row r="284" spans="1:4" x14ac:dyDescent="0.45">
      <c r="A284" s="4" t="s">
        <v>177</v>
      </c>
      <c r="B284" s="4" t="s">
        <v>40</v>
      </c>
      <c r="C284" s="1">
        <v>46223.193055555559</v>
      </c>
      <c r="D284" t="str">
        <f t="shared" si="4"/>
        <v>Returning User</v>
      </c>
    </row>
    <row r="285" spans="1:4" x14ac:dyDescent="0.45">
      <c r="A285" s="4" t="s">
        <v>178</v>
      </c>
      <c r="B285" s="4" t="s">
        <v>40</v>
      </c>
      <c r="C285" s="1">
        <v>46223.202777777777</v>
      </c>
      <c r="D285" t="str">
        <f t="shared" si="4"/>
        <v>Returning User</v>
      </c>
    </row>
    <row r="286" spans="1:4" x14ac:dyDescent="0.45">
      <c r="A286" s="4" t="s">
        <v>179</v>
      </c>
      <c r="B286" s="4" t="s">
        <v>27</v>
      </c>
      <c r="C286" s="1">
        <v>46223.168055555558</v>
      </c>
      <c r="D286" t="str">
        <f t="shared" si="4"/>
        <v>Returning User</v>
      </c>
    </row>
    <row r="287" spans="1:4" x14ac:dyDescent="0.45">
      <c r="A287" s="4" t="s">
        <v>180</v>
      </c>
      <c r="B287" s="4" t="s">
        <v>40</v>
      </c>
      <c r="C287" s="1">
        <v>46223.203472222223</v>
      </c>
      <c r="D287" t="str">
        <f t="shared" si="4"/>
        <v>Returning User</v>
      </c>
    </row>
    <row r="288" spans="1:4" x14ac:dyDescent="0.45">
      <c r="A288" s="4" t="s">
        <v>181</v>
      </c>
      <c r="B288" s="4" t="s">
        <v>7</v>
      </c>
      <c r="C288" s="1">
        <v>46223.158333333333</v>
      </c>
      <c r="D288" t="str">
        <f t="shared" si="4"/>
        <v>New User</v>
      </c>
    </row>
    <row r="289" spans="1:4" x14ac:dyDescent="0.45">
      <c r="A289" s="4" t="s">
        <v>163</v>
      </c>
      <c r="B289" s="4" t="s">
        <v>40</v>
      </c>
      <c r="C289" s="1">
        <v>46223.209722222222</v>
      </c>
      <c r="D289" t="str">
        <f t="shared" si="4"/>
        <v>Returning User</v>
      </c>
    </row>
    <row r="290" spans="1:4" x14ac:dyDescent="0.45">
      <c r="A290" s="4" t="s">
        <v>144</v>
      </c>
      <c r="B290" s="4" t="s">
        <v>13</v>
      </c>
      <c r="C290" s="1">
        <v>46223.18472222222</v>
      </c>
      <c r="D290" t="str">
        <f t="shared" si="4"/>
        <v>Returning User</v>
      </c>
    </row>
    <row r="291" spans="1:4" x14ac:dyDescent="0.45">
      <c r="A291" s="4" t="s">
        <v>145</v>
      </c>
      <c r="B291" s="4" t="s">
        <v>7</v>
      </c>
      <c r="C291" s="1">
        <v>46223.168749999997</v>
      </c>
      <c r="D291" t="str">
        <f t="shared" si="4"/>
        <v>New User</v>
      </c>
    </row>
    <row r="292" spans="1:4" x14ac:dyDescent="0.45">
      <c r="A292" s="4" t="s">
        <v>76</v>
      </c>
      <c r="B292" s="4" t="s">
        <v>4</v>
      </c>
      <c r="C292" s="1">
        <v>46223.171527777777</v>
      </c>
      <c r="D292" t="str">
        <f t="shared" si="4"/>
        <v>Returning User</v>
      </c>
    </row>
    <row r="293" spans="1:4" x14ac:dyDescent="0.45">
      <c r="A293" s="4" t="s">
        <v>182</v>
      </c>
      <c r="B293" s="4" t="s">
        <v>4</v>
      </c>
      <c r="C293" s="1">
        <v>46223.15902777778</v>
      </c>
      <c r="D293" t="str">
        <f t="shared" si="4"/>
        <v>Returning User</v>
      </c>
    </row>
    <row r="294" spans="1:4" x14ac:dyDescent="0.45">
      <c r="A294" s="4" t="s">
        <v>36</v>
      </c>
      <c r="B294" s="4" t="s">
        <v>7</v>
      </c>
      <c r="C294" s="1">
        <v>46223.170138888891</v>
      </c>
      <c r="D294" t="str">
        <f t="shared" si="4"/>
        <v>New User</v>
      </c>
    </row>
    <row r="295" spans="1:4" x14ac:dyDescent="0.45">
      <c r="A295" s="4" t="s">
        <v>179</v>
      </c>
      <c r="B295" s="4" t="s">
        <v>7</v>
      </c>
      <c r="C295" s="1">
        <v>46223.157638888886</v>
      </c>
      <c r="D295" t="str">
        <f t="shared" si="4"/>
        <v>New User</v>
      </c>
    </row>
    <row r="296" spans="1:4" x14ac:dyDescent="0.45">
      <c r="A296" s="4" t="s">
        <v>174</v>
      </c>
      <c r="B296" s="4" t="s">
        <v>7</v>
      </c>
      <c r="C296" s="1">
        <v>46223.168055555558</v>
      </c>
      <c r="D296" t="str">
        <f t="shared" si="4"/>
        <v>New User</v>
      </c>
    </row>
    <row r="297" spans="1:4" x14ac:dyDescent="0.45">
      <c r="A297" s="4" t="s">
        <v>32</v>
      </c>
      <c r="B297" s="4" t="s">
        <v>13</v>
      </c>
      <c r="C297" s="1">
        <v>46223.197222222225</v>
      </c>
      <c r="D297" t="str">
        <f t="shared" si="4"/>
        <v>Returning User</v>
      </c>
    </row>
    <row r="298" spans="1:4" x14ac:dyDescent="0.45">
      <c r="A298" s="4" t="s">
        <v>85</v>
      </c>
      <c r="B298" s="4" t="s">
        <v>7</v>
      </c>
      <c r="C298" s="1">
        <v>46223.152083333334</v>
      </c>
      <c r="D298" t="str">
        <f t="shared" si="4"/>
        <v>New User</v>
      </c>
    </row>
    <row r="299" spans="1:4" x14ac:dyDescent="0.45">
      <c r="A299" s="4" t="s">
        <v>166</v>
      </c>
      <c r="B299" s="4" t="s">
        <v>13</v>
      </c>
      <c r="C299" s="1">
        <v>46223.193749999999</v>
      </c>
      <c r="D299" t="str">
        <f t="shared" si="4"/>
        <v>Returning User</v>
      </c>
    </row>
    <row r="300" spans="1:4" x14ac:dyDescent="0.45">
      <c r="A300" s="4" t="s">
        <v>102</v>
      </c>
      <c r="B300" s="4" t="s">
        <v>7</v>
      </c>
      <c r="C300" s="1">
        <v>46223.163888888892</v>
      </c>
      <c r="D300" t="str">
        <f t="shared" si="4"/>
        <v>New User</v>
      </c>
    </row>
    <row r="301" spans="1:4" x14ac:dyDescent="0.45">
      <c r="A301" s="4" t="s">
        <v>113</v>
      </c>
      <c r="B301" s="4" t="s">
        <v>7</v>
      </c>
      <c r="C301" s="1">
        <v>46223.149305555555</v>
      </c>
      <c r="D301" t="str">
        <f t="shared" si="4"/>
        <v>New User</v>
      </c>
    </row>
    <row r="302" spans="1:4" x14ac:dyDescent="0.45">
      <c r="A302" s="4" t="s">
        <v>19</v>
      </c>
      <c r="B302" s="4" t="s">
        <v>7</v>
      </c>
      <c r="C302" s="1">
        <v>46223.154861111114</v>
      </c>
      <c r="D302" t="str">
        <f t="shared" si="4"/>
        <v>New User</v>
      </c>
    </row>
    <row r="303" spans="1:4" x14ac:dyDescent="0.45">
      <c r="A303" s="4" t="s">
        <v>151</v>
      </c>
      <c r="B303" s="4" t="s">
        <v>7</v>
      </c>
      <c r="C303" s="1">
        <v>46223.155555555553</v>
      </c>
      <c r="D303" t="str">
        <f t="shared" si="4"/>
        <v>New User</v>
      </c>
    </row>
    <row r="304" spans="1:4" x14ac:dyDescent="0.45">
      <c r="A304" s="4" t="s">
        <v>79</v>
      </c>
      <c r="B304" s="4" t="s">
        <v>7</v>
      </c>
      <c r="C304" s="1">
        <v>46223.145833333336</v>
      </c>
      <c r="D304" t="str">
        <f t="shared" si="4"/>
        <v>New User</v>
      </c>
    </row>
    <row r="305" spans="1:4" x14ac:dyDescent="0.45">
      <c r="A305" s="4" t="s">
        <v>69</v>
      </c>
      <c r="B305" s="4" t="s">
        <v>13</v>
      </c>
      <c r="C305" s="1">
        <v>46223.182638888888</v>
      </c>
      <c r="D305" t="str">
        <f t="shared" si="4"/>
        <v>Returning User</v>
      </c>
    </row>
    <row r="306" spans="1:4" x14ac:dyDescent="0.45">
      <c r="A306" s="4" t="s">
        <v>183</v>
      </c>
      <c r="B306" s="4" t="s">
        <v>27</v>
      </c>
      <c r="C306" s="1">
        <v>46223.175000000003</v>
      </c>
      <c r="D306" t="str">
        <f t="shared" si="4"/>
        <v>Returning User</v>
      </c>
    </row>
    <row r="307" spans="1:4" x14ac:dyDescent="0.45">
      <c r="A307" s="4" t="s">
        <v>63</v>
      </c>
      <c r="B307" s="4" t="s">
        <v>4</v>
      </c>
      <c r="C307" s="1">
        <v>46223.175000000003</v>
      </c>
      <c r="D307" t="str">
        <f t="shared" si="4"/>
        <v>Returning User</v>
      </c>
    </row>
    <row r="308" spans="1:4" x14ac:dyDescent="0.45">
      <c r="A308" s="4" t="s">
        <v>184</v>
      </c>
      <c r="B308" s="4" t="s">
        <v>7</v>
      </c>
      <c r="C308" s="1">
        <v>46223.17291666667</v>
      </c>
      <c r="D308" t="str">
        <f t="shared" si="4"/>
        <v>New User</v>
      </c>
    </row>
    <row r="309" spans="1:4" x14ac:dyDescent="0.45">
      <c r="A309" s="4" t="s">
        <v>180</v>
      </c>
      <c r="B309" s="4" t="s">
        <v>4</v>
      </c>
      <c r="C309" s="1">
        <v>46223.175000000003</v>
      </c>
      <c r="D309" t="str">
        <f t="shared" si="4"/>
        <v>Returning User</v>
      </c>
    </row>
    <row r="310" spans="1:4" x14ac:dyDescent="0.45">
      <c r="A310" s="4" t="s">
        <v>123</v>
      </c>
      <c r="B310" s="4" t="s">
        <v>4</v>
      </c>
      <c r="C310" s="1">
        <v>46223.17291666667</v>
      </c>
      <c r="D310" t="str">
        <f t="shared" si="4"/>
        <v>Returning User</v>
      </c>
    </row>
    <row r="311" spans="1:4" x14ac:dyDescent="0.45">
      <c r="A311" s="4" t="s">
        <v>185</v>
      </c>
      <c r="B311" s="4" t="s">
        <v>27</v>
      </c>
      <c r="C311" s="1">
        <v>46223.175000000003</v>
      </c>
      <c r="D311" t="str">
        <f t="shared" si="4"/>
        <v>Returning User</v>
      </c>
    </row>
    <row r="312" spans="1:4" x14ac:dyDescent="0.45">
      <c r="A312" s="4" t="s">
        <v>39</v>
      </c>
      <c r="B312" s="4" t="s">
        <v>4</v>
      </c>
      <c r="C312" s="1">
        <v>46223.175000000003</v>
      </c>
      <c r="D312" t="str">
        <f t="shared" si="4"/>
        <v>Returning User</v>
      </c>
    </row>
    <row r="313" spans="1:4" x14ac:dyDescent="0.45">
      <c r="A313" s="4" t="s">
        <v>185</v>
      </c>
      <c r="B313" s="4" t="s">
        <v>7</v>
      </c>
      <c r="C313" s="1">
        <v>46223.168055555558</v>
      </c>
      <c r="D313" t="str">
        <f t="shared" si="4"/>
        <v>New User</v>
      </c>
    </row>
    <row r="314" spans="1:4" x14ac:dyDescent="0.45">
      <c r="A314" s="4" t="s">
        <v>164</v>
      </c>
      <c r="B314" s="4" t="s">
        <v>4</v>
      </c>
      <c r="C314" s="1">
        <v>46223.163194444445</v>
      </c>
      <c r="D314" t="str">
        <f t="shared" si="4"/>
        <v>Returning User</v>
      </c>
    </row>
    <row r="315" spans="1:4" x14ac:dyDescent="0.45">
      <c r="A315" s="4" t="s">
        <v>134</v>
      </c>
      <c r="B315" s="4" t="s">
        <v>4</v>
      </c>
      <c r="C315" s="1">
        <v>46223.157638888886</v>
      </c>
      <c r="D315" t="str">
        <f t="shared" si="4"/>
        <v>Returning User</v>
      </c>
    </row>
    <row r="316" spans="1:4" x14ac:dyDescent="0.45">
      <c r="A316" s="4" t="s">
        <v>186</v>
      </c>
      <c r="B316" s="4" t="s">
        <v>40</v>
      </c>
      <c r="C316" s="1">
        <v>46223.209027777775</v>
      </c>
      <c r="D316" t="str">
        <f t="shared" si="4"/>
        <v>Returning User</v>
      </c>
    </row>
    <row r="317" spans="1:4" x14ac:dyDescent="0.45">
      <c r="A317" s="4" t="s">
        <v>52</v>
      </c>
      <c r="B317" s="4" t="s">
        <v>40</v>
      </c>
      <c r="C317" s="1">
        <v>46223.213194444441</v>
      </c>
      <c r="D317" t="str">
        <f t="shared" si="4"/>
        <v>Returning User</v>
      </c>
    </row>
    <row r="318" spans="1:4" x14ac:dyDescent="0.45">
      <c r="A318" s="4" t="s">
        <v>82</v>
      </c>
      <c r="B318" s="4" t="s">
        <v>7</v>
      </c>
      <c r="C318" s="1">
        <v>46223.164583333331</v>
      </c>
      <c r="D318" t="str">
        <f t="shared" si="4"/>
        <v>New User</v>
      </c>
    </row>
    <row r="319" spans="1:4" x14ac:dyDescent="0.45">
      <c r="A319" s="4" t="s">
        <v>183</v>
      </c>
      <c r="B319" s="4" t="s">
        <v>7</v>
      </c>
      <c r="C319" s="1">
        <v>46223.166666666664</v>
      </c>
      <c r="D319" t="str">
        <f t="shared" si="4"/>
        <v>New User</v>
      </c>
    </row>
    <row r="320" spans="1:4" x14ac:dyDescent="0.45">
      <c r="A320" s="4" t="s">
        <v>64</v>
      </c>
      <c r="B320" s="4" t="s">
        <v>4</v>
      </c>
      <c r="C320" s="1">
        <v>46223.169444444444</v>
      </c>
      <c r="D320" t="str">
        <f t="shared" si="4"/>
        <v>Returning User</v>
      </c>
    </row>
    <row r="321" spans="1:4" x14ac:dyDescent="0.45">
      <c r="A321" s="4" t="s">
        <v>16</v>
      </c>
      <c r="B321" s="4" t="s">
        <v>13</v>
      </c>
      <c r="C321" s="1">
        <v>46223.1875</v>
      </c>
      <c r="D321" t="str">
        <f t="shared" si="4"/>
        <v>Returning User</v>
      </c>
    </row>
    <row r="322" spans="1:4" x14ac:dyDescent="0.45">
      <c r="A322" s="4" t="s">
        <v>60</v>
      </c>
      <c r="B322" s="4" t="s">
        <v>27</v>
      </c>
      <c r="C322" s="1">
        <v>46223.168749999997</v>
      </c>
      <c r="D322" t="str">
        <f t="shared" ref="D322:D385" si="5">IF(B322="visited_site","New User",IF(AND(OR(B322="signup_started",B322="details_filled",B322="email_verified",B322="purchase_completed"),COUNTIFS($A:$A,A322,$B:$B,"visited_site")&gt;0),"Returning User","Unknown"))</f>
        <v>Returning User</v>
      </c>
    </row>
    <row r="323" spans="1:4" x14ac:dyDescent="0.45">
      <c r="A323" s="4" t="s">
        <v>17</v>
      </c>
      <c r="B323" s="4" t="s">
        <v>7</v>
      </c>
      <c r="C323" s="1">
        <v>46223.149305555555</v>
      </c>
      <c r="D323" t="str">
        <f t="shared" si="5"/>
        <v>New User</v>
      </c>
    </row>
    <row r="324" spans="1:4" x14ac:dyDescent="0.45">
      <c r="A324" s="4" t="s">
        <v>73</v>
      </c>
      <c r="B324" s="4" t="s">
        <v>7</v>
      </c>
      <c r="C324" s="1">
        <v>46223.147222222222</v>
      </c>
      <c r="D324" t="str">
        <f t="shared" si="5"/>
        <v>New User</v>
      </c>
    </row>
    <row r="325" spans="1:4" x14ac:dyDescent="0.45">
      <c r="A325" s="4" t="s">
        <v>51</v>
      </c>
      <c r="B325" s="4" t="s">
        <v>7</v>
      </c>
      <c r="C325" s="1">
        <v>46223.147916666669</v>
      </c>
      <c r="D325" t="str">
        <f t="shared" si="5"/>
        <v>New User</v>
      </c>
    </row>
    <row r="326" spans="1:4" x14ac:dyDescent="0.45">
      <c r="A326" s="4" t="s">
        <v>170</v>
      </c>
      <c r="B326" s="4" t="s">
        <v>7</v>
      </c>
      <c r="C326" s="1">
        <v>46223.167361111111</v>
      </c>
      <c r="D326" t="str">
        <f t="shared" si="5"/>
        <v>New User</v>
      </c>
    </row>
    <row r="327" spans="1:4" x14ac:dyDescent="0.45">
      <c r="A327" s="4" t="s">
        <v>43</v>
      </c>
      <c r="B327" s="4" t="s">
        <v>4</v>
      </c>
      <c r="C327" s="1">
        <v>46223.158333333333</v>
      </c>
      <c r="D327" t="str">
        <f t="shared" si="5"/>
        <v>Returning User</v>
      </c>
    </row>
    <row r="328" spans="1:4" x14ac:dyDescent="0.45">
      <c r="A328" s="4" t="s">
        <v>52</v>
      </c>
      <c r="B328" s="4" t="s">
        <v>4</v>
      </c>
      <c r="C328" s="1">
        <v>46223.181944444441</v>
      </c>
      <c r="D328" t="str">
        <f t="shared" si="5"/>
        <v>Returning User</v>
      </c>
    </row>
    <row r="329" spans="1:4" x14ac:dyDescent="0.45">
      <c r="A329" s="4" t="s">
        <v>161</v>
      </c>
      <c r="B329" s="4" t="s">
        <v>13</v>
      </c>
      <c r="C329" s="1">
        <v>46223.181250000001</v>
      </c>
      <c r="D329" t="str">
        <f t="shared" si="5"/>
        <v>Returning User</v>
      </c>
    </row>
    <row r="330" spans="1:4" x14ac:dyDescent="0.45">
      <c r="A330" s="4" t="s">
        <v>106</v>
      </c>
      <c r="B330" s="4" t="s">
        <v>27</v>
      </c>
      <c r="C330" s="1">
        <v>46223.168055555558</v>
      </c>
      <c r="D330" t="str">
        <f t="shared" si="5"/>
        <v>Returning User</v>
      </c>
    </row>
    <row r="331" spans="1:4" x14ac:dyDescent="0.45">
      <c r="A331" s="4" t="s">
        <v>68</v>
      </c>
      <c r="B331" s="4" t="s">
        <v>7</v>
      </c>
      <c r="C331" s="1">
        <v>46223.163888888892</v>
      </c>
      <c r="D331" t="str">
        <f t="shared" si="5"/>
        <v>New User</v>
      </c>
    </row>
    <row r="332" spans="1:4" x14ac:dyDescent="0.45">
      <c r="A332" s="4" t="s">
        <v>187</v>
      </c>
      <c r="B332" s="4" t="s">
        <v>7</v>
      </c>
      <c r="C332" s="1">
        <v>46223.166666666664</v>
      </c>
      <c r="D332" t="str">
        <f t="shared" si="5"/>
        <v>New User</v>
      </c>
    </row>
    <row r="333" spans="1:4" x14ac:dyDescent="0.45">
      <c r="A333" s="4" t="s">
        <v>135</v>
      </c>
      <c r="B333" s="4" t="s">
        <v>4</v>
      </c>
      <c r="C333" s="1">
        <v>46223.162499999999</v>
      </c>
      <c r="D333" t="str">
        <f t="shared" si="5"/>
        <v>Returning User</v>
      </c>
    </row>
    <row r="334" spans="1:4" x14ac:dyDescent="0.45">
      <c r="A334" s="4" t="s">
        <v>66</v>
      </c>
      <c r="B334" s="4" t="s">
        <v>7</v>
      </c>
      <c r="C334" s="1">
        <v>46223.17291666667</v>
      </c>
      <c r="D334" t="str">
        <f t="shared" si="5"/>
        <v>New User</v>
      </c>
    </row>
    <row r="335" spans="1:4" x14ac:dyDescent="0.45">
      <c r="A335" s="4" t="s">
        <v>188</v>
      </c>
      <c r="B335" s="4" t="s">
        <v>4</v>
      </c>
      <c r="C335" s="1">
        <v>46223.161805555559</v>
      </c>
      <c r="D335" t="str">
        <f t="shared" si="5"/>
        <v>Returning User</v>
      </c>
    </row>
    <row r="336" spans="1:4" x14ac:dyDescent="0.45">
      <c r="A336" s="4" t="s">
        <v>169</v>
      </c>
      <c r="B336" s="4" t="s">
        <v>7</v>
      </c>
      <c r="C336" s="1">
        <v>46223.15</v>
      </c>
      <c r="D336" t="str">
        <f t="shared" si="5"/>
        <v>New User</v>
      </c>
    </row>
    <row r="337" spans="1:4" x14ac:dyDescent="0.45">
      <c r="A337" s="4" t="s">
        <v>186</v>
      </c>
      <c r="B337" s="4" t="s">
        <v>7</v>
      </c>
      <c r="C337" s="1">
        <v>46223.145833333336</v>
      </c>
      <c r="D337" t="str">
        <f t="shared" si="5"/>
        <v>New User</v>
      </c>
    </row>
    <row r="338" spans="1:4" x14ac:dyDescent="0.45">
      <c r="A338" s="4" t="s">
        <v>10</v>
      </c>
      <c r="B338" s="4" t="s">
        <v>27</v>
      </c>
      <c r="C338" s="1">
        <v>46223.186805555553</v>
      </c>
      <c r="D338" t="str">
        <f t="shared" si="5"/>
        <v>Returning User</v>
      </c>
    </row>
    <row r="339" spans="1:4" x14ac:dyDescent="0.45">
      <c r="A339" s="4" t="s">
        <v>189</v>
      </c>
      <c r="B339" s="4" t="s">
        <v>7</v>
      </c>
      <c r="C339" s="1">
        <v>46223.163194444445</v>
      </c>
      <c r="D339" t="str">
        <f t="shared" si="5"/>
        <v>New User</v>
      </c>
    </row>
    <row r="340" spans="1:4" x14ac:dyDescent="0.45">
      <c r="A340" s="4" t="s">
        <v>177</v>
      </c>
      <c r="B340" s="4" t="s">
        <v>4</v>
      </c>
      <c r="C340" s="1">
        <v>46223.15902777778</v>
      </c>
      <c r="D340" t="str">
        <f t="shared" si="5"/>
        <v>Returning User</v>
      </c>
    </row>
    <row r="341" spans="1:4" x14ac:dyDescent="0.45">
      <c r="A341" s="4" t="s">
        <v>42</v>
      </c>
      <c r="B341" s="4" t="s">
        <v>7</v>
      </c>
      <c r="C341" s="1">
        <v>46223.169444444444</v>
      </c>
      <c r="D341" t="str">
        <f t="shared" si="5"/>
        <v>New User</v>
      </c>
    </row>
    <row r="342" spans="1:4" x14ac:dyDescent="0.45">
      <c r="A342" s="4" t="s">
        <v>148</v>
      </c>
      <c r="B342" s="4" t="s">
        <v>4</v>
      </c>
      <c r="C342" s="1">
        <v>46223.163194444445</v>
      </c>
      <c r="D342" t="str">
        <f t="shared" si="5"/>
        <v>Returning User</v>
      </c>
    </row>
    <row r="343" spans="1:4" x14ac:dyDescent="0.45">
      <c r="A343" s="4" t="s">
        <v>171</v>
      </c>
      <c r="B343" s="4" t="s">
        <v>4</v>
      </c>
      <c r="C343" s="1">
        <v>46223.182638888888</v>
      </c>
      <c r="D343" t="str">
        <f t="shared" si="5"/>
        <v>Returning User</v>
      </c>
    </row>
    <row r="344" spans="1:4" x14ac:dyDescent="0.45">
      <c r="A344" s="4" t="s">
        <v>156</v>
      </c>
      <c r="B344" s="4" t="s">
        <v>13</v>
      </c>
      <c r="C344" s="1">
        <v>46223.20208333333</v>
      </c>
      <c r="D344" t="str">
        <f t="shared" si="5"/>
        <v>Returning User</v>
      </c>
    </row>
    <row r="345" spans="1:4" x14ac:dyDescent="0.45">
      <c r="A345" s="4" t="s">
        <v>153</v>
      </c>
      <c r="B345" s="4" t="s">
        <v>7</v>
      </c>
      <c r="C345" s="1">
        <v>46223.168055555558</v>
      </c>
      <c r="D345" t="str">
        <f t="shared" si="5"/>
        <v>New User</v>
      </c>
    </row>
    <row r="346" spans="1:4" x14ac:dyDescent="0.45">
      <c r="A346" s="4" t="s">
        <v>190</v>
      </c>
      <c r="B346" s="4" t="s">
        <v>7</v>
      </c>
      <c r="C346" s="1">
        <v>46223.161111111112</v>
      </c>
      <c r="D346" t="str">
        <f t="shared" si="5"/>
        <v>New User</v>
      </c>
    </row>
    <row r="347" spans="1:4" x14ac:dyDescent="0.45">
      <c r="A347" s="4" t="s">
        <v>94</v>
      </c>
      <c r="B347" s="4" t="s">
        <v>4</v>
      </c>
      <c r="C347" s="1">
        <v>46223.163194444445</v>
      </c>
      <c r="D347" t="str">
        <f t="shared" si="5"/>
        <v>Returning User</v>
      </c>
    </row>
    <row r="348" spans="1:4" x14ac:dyDescent="0.45">
      <c r="A348" s="4" t="s">
        <v>79</v>
      </c>
      <c r="B348" s="4" t="s">
        <v>13</v>
      </c>
      <c r="C348" s="1">
        <v>46223.180555555555</v>
      </c>
      <c r="D348" t="str">
        <f t="shared" si="5"/>
        <v>Returning User</v>
      </c>
    </row>
    <row r="349" spans="1:4" x14ac:dyDescent="0.45">
      <c r="A349" s="4" t="s">
        <v>99</v>
      </c>
      <c r="B349" s="4" t="s">
        <v>4</v>
      </c>
      <c r="C349" s="1">
        <v>46223.166666666664</v>
      </c>
      <c r="D349" t="str">
        <f t="shared" si="5"/>
        <v>Returning User</v>
      </c>
    </row>
    <row r="350" spans="1:4" x14ac:dyDescent="0.45">
      <c r="A350" s="4" t="s">
        <v>154</v>
      </c>
      <c r="B350" s="4" t="s">
        <v>27</v>
      </c>
      <c r="C350" s="1">
        <v>46223.189583333333</v>
      </c>
      <c r="D350" t="str">
        <f t="shared" si="5"/>
        <v>Returning User</v>
      </c>
    </row>
    <row r="351" spans="1:4" x14ac:dyDescent="0.45">
      <c r="A351" s="4" t="s">
        <v>93</v>
      </c>
      <c r="B351" s="4" t="s">
        <v>13</v>
      </c>
      <c r="C351" s="1">
        <v>46223.191666666666</v>
      </c>
      <c r="D351" t="str">
        <f t="shared" si="5"/>
        <v>Returning User</v>
      </c>
    </row>
    <row r="352" spans="1:4" x14ac:dyDescent="0.45">
      <c r="A352" s="4" t="s">
        <v>191</v>
      </c>
      <c r="B352" s="4" t="s">
        <v>27</v>
      </c>
      <c r="C352" s="1">
        <v>46223.176388888889</v>
      </c>
      <c r="D352" t="str">
        <f t="shared" si="5"/>
        <v>Returning User</v>
      </c>
    </row>
    <row r="353" spans="1:4" x14ac:dyDescent="0.45">
      <c r="A353" s="4" t="s">
        <v>152</v>
      </c>
      <c r="B353" s="4" t="s">
        <v>27</v>
      </c>
      <c r="C353" s="1">
        <v>46223.188194444447</v>
      </c>
      <c r="D353" t="str">
        <f t="shared" si="5"/>
        <v>Returning User</v>
      </c>
    </row>
    <row r="354" spans="1:4" x14ac:dyDescent="0.45">
      <c r="A354" s="4" t="s">
        <v>150</v>
      </c>
      <c r="B354" s="4" t="s">
        <v>13</v>
      </c>
      <c r="C354" s="1">
        <v>46223.178472222222</v>
      </c>
      <c r="D354" t="str">
        <f t="shared" si="5"/>
        <v>Returning User</v>
      </c>
    </row>
    <row r="355" spans="1:4" x14ac:dyDescent="0.45">
      <c r="A355" s="4" t="s">
        <v>188</v>
      </c>
      <c r="B355" s="4" t="s">
        <v>40</v>
      </c>
      <c r="C355" s="1">
        <v>46223.196527777778</v>
      </c>
      <c r="D355" t="str">
        <f t="shared" si="5"/>
        <v>Returning User</v>
      </c>
    </row>
    <row r="356" spans="1:4" x14ac:dyDescent="0.45">
      <c r="A356" s="4" t="s">
        <v>170</v>
      </c>
      <c r="B356" s="4" t="s">
        <v>40</v>
      </c>
      <c r="C356" s="1">
        <v>46223.196527777778</v>
      </c>
      <c r="D356" t="str">
        <f t="shared" si="5"/>
        <v>Returning User</v>
      </c>
    </row>
    <row r="357" spans="1:4" x14ac:dyDescent="0.45">
      <c r="A357" s="4" t="s">
        <v>100</v>
      </c>
      <c r="B357" s="4" t="s">
        <v>4</v>
      </c>
      <c r="C357" s="1">
        <v>46223.178472222222</v>
      </c>
      <c r="D357" t="str">
        <f t="shared" si="5"/>
        <v>Returning User</v>
      </c>
    </row>
    <row r="358" spans="1:4" x14ac:dyDescent="0.45">
      <c r="A358" s="4" t="s">
        <v>192</v>
      </c>
      <c r="B358" s="4" t="s">
        <v>40</v>
      </c>
      <c r="C358" s="1">
        <v>46223.197916666664</v>
      </c>
      <c r="D358" t="str">
        <f t="shared" si="5"/>
        <v>Returning User</v>
      </c>
    </row>
    <row r="359" spans="1:4" x14ac:dyDescent="0.45">
      <c r="A359" s="4" t="s">
        <v>133</v>
      </c>
      <c r="B359" s="4" t="s">
        <v>7</v>
      </c>
      <c r="C359" s="1">
        <v>46223.163194444445</v>
      </c>
      <c r="D359" t="str">
        <f t="shared" si="5"/>
        <v>New User</v>
      </c>
    </row>
    <row r="360" spans="1:4" x14ac:dyDescent="0.45">
      <c r="A360" s="4" t="s">
        <v>131</v>
      </c>
      <c r="B360" s="4" t="s">
        <v>7</v>
      </c>
      <c r="C360" s="1">
        <v>46223.163194444445</v>
      </c>
      <c r="D360" t="str">
        <f t="shared" si="5"/>
        <v>New User</v>
      </c>
    </row>
    <row r="361" spans="1:4" x14ac:dyDescent="0.45">
      <c r="A361" s="4" t="s">
        <v>38</v>
      </c>
      <c r="B361" s="4" t="s">
        <v>7</v>
      </c>
      <c r="C361" s="1">
        <v>46223.171527777777</v>
      </c>
      <c r="D361" t="str">
        <f t="shared" si="5"/>
        <v>New User</v>
      </c>
    </row>
    <row r="362" spans="1:4" x14ac:dyDescent="0.45">
      <c r="A362" s="4" t="s">
        <v>193</v>
      </c>
      <c r="B362" s="4" t="s">
        <v>27</v>
      </c>
      <c r="C362" s="1">
        <v>46223.184027777781</v>
      </c>
      <c r="D362" t="str">
        <f t="shared" si="5"/>
        <v>Returning User</v>
      </c>
    </row>
    <row r="363" spans="1:4" x14ac:dyDescent="0.45">
      <c r="A363" s="4" t="s">
        <v>69</v>
      </c>
      <c r="B363" s="4" t="s">
        <v>7</v>
      </c>
      <c r="C363" s="1">
        <v>46223.163194444445</v>
      </c>
      <c r="D363" t="str">
        <f t="shared" si="5"/>
        <v>New User</v>
      </c>
    </row>
    <row r="364" spans="1:4" x14ac:dyDescent="0.45">
      <c r="A364" s="4" t="s">
        <v>194</v>
      </c>
      <c r="B364" s="4" t="s">
        <v>7</v>
      </c>
      <c r="C364" s="1">
        <v>46223.147916666669</v>
      </c>
      <c r="D364" t="str">
        <f t="shared" si="5"/>
        <v>New User</v>
      </c>
    </row>
    <row r="365" spans="1:4" x14ac:dyDescent="0.45">
      <c r="A365" s="4" t="s">
        <v>26</v>
      </c>
      <c r="B365" s="4" t="s">
        <v>7</v>
      </c>
      <c r="C365" s="1">
        <v>46223.17291666667</v>
      </c>
      <c r="D365" t="str">
        <f t="shared" si="5"/>
        <v>New User</v>
      </c>
    </row>
    <row r="366" spans="1:4" x14ac:dyDescent="0.45">
      <c r="A366" s="4" t="s">
        <v>178</v>
      </c>
      <c r="B366" s="4" t="s">
        <v>7</v>
      </c>
      <c r="C366" s="1">
        <v>46223.15625</v>
      </c>
      <c r="D366" t="str">
        <f t="shared" si="5"/>
        <v>New User</v>
      </c>
    </row>
    <row r="367" spans="1:4" x14ac:dyDescent="0.45">
      <c r="A367" s="4" t="s">
        <v>28</v>
      </c>
      <c r="B367" s="4" t="s">
        <v>7</v>
      </c>
      <c r="C367" s="1">
        <v>46223.165277777778</v>
      </c>
      <c r="D367" t="str">
        <f t="shared" si="5"/>
        <v>New User</v>
      </c>
    </row>
    <row r="368" spans="1:4" x14ac:dyDescent="0.45">
      <c r="A368" s="4" t="s">
        <v>118</v>
      </c>
      <c r="B368" s="4" t="s">
        <v>7</v>
      </c>
      <c r="C368" s="1">
        <v>46223.15902777778</v>
      </c>
      <c r="D368" t="str">
        <f t="shared" si="5"/>
        <v>New User</v>
      </c>
    </row>
    <row r="369" spans="1:4" x14ac:dyDescent="0.45">
      <c r="A369" s="4" t="s">
        <v>47</v>
      </c>
      <c r="B369" s="4" t="s">
        <v>27</v>
      </c>
      <c r="C369" s="1">
        <v>46223.190972222219</v>
      </c>
      <c r="D369" t="str">
        <f t="shared" si="5"/>
        <v>Returning User</v>
      </c>
    </row>
    <row r="370" spans="1:4" x14ac:dyDescent="0.45">
      <c r="A370" s="4" t="s">
        <v>37</v>
      </c>
      <c r="B370" s="4" t="s">
        <v>7</v>
      </c>
      <c r="C370" s="1">
        <v>46223.148611111108</v>
      </c>
      <c r="D370" t="str">
        <f t="shared" si="5"/>
        <v>New User</v>
      </c>
    </row>
    <row r="371" spans="1:4" x14ac:dyDescent="0.45">
      <c r="A371" s="4" t="s">
        <v>176</v>
      </c>
      <c r="B371" s="4" t="s">
        <v>27</v>
      </c>
      <c r="C371" s="1">
        <v>46223.170138888891</v>
      </c>
      <c r="D371" t="str">
        <f t="shared" si="5"/>
        <v>Returning User</v>
      </c>
    </row>
    <row r="372" spans="1:4" x14ac:dyDescent="0.45">
      <c r="A372" s="4" t="s">
        <v>195</v>
      </c>
      <c r="B372" s="4" t="s">
        <v>4</v>
      </c>
      <c r="C372" s="1">
        <v>46223.170138888891</v>
      </c>
      <c r="D372" t="str">
        <f t="shared" si="5"/>
        <v>Returning User</v>
      </c>
    </row>
    <row r="373" spans="1:4" x14ac:dyDescent="0.45">
      <c r="A373" s="4" t="s">
        <v>45</v>
      </c>
      <c r="B373" s="4" t="s">
        <v>4</v>
      </c>
      <c r="C373" s="1">
        <v>46223.183333333334</v>
      </c>
      <c r="D373" t="str">
        <f t="shared" si="5"/>
        <v>Returning User</v>
      </c>
    </row>
    <row r="374" spans="1:4" x14ac:dyDescent="0.45">
      <c r="A374" s="4" t="s">
        <v>22</v>
      </c>
      <c r="B374" s="4" t="s">
        <v>13</v>
      </c>
      <c r="C374" s="1">
        <v>46223.193055555559</v>
      </c>
      <c r="D374" t="str">
        <f t="shared" si="5"/>
        <v>Returning User</v>
      </c>
    </row>
    <row r="375" spans="1:4" x14ac:dyDescent="0.45">
      <c r="A375" s="4" t="s">
        <v>188</v>
      </c>
      <c r="B375" s="4" t="s">
        <v>7</v>
      </c>
      <c r="C375" s="1">
        <v>46223.164583333331</v>
      </c>
      <c r="D375" t="str">
        <f t="shared" si="5"/>
        <v>New User</v>
      </c>
    </row>
    <row r="376" spans="1:4" x14ac:dyDescent="0.45">
      <c r="A376" s="4" t="s">
        <v>196</v>
      </c>
      <c r="B376" s="4" t="s">
        <v>7</v>
      </c>
      <c r="C376" s="1">
        <v>46223.171527777777</v>
      </c>
      <c r="D376" t="str">
        <f t="shared" si="5"/>
        <v>New User</v>
      </c>
    </row>
    <row r="377" spans="1:4" x14ac:dyDescent="0.45">
      <c r="A377" s="4" t="s">
        <v>192</v>
      </c>
      <c r="B377" s="4" t="s">
        <v>4</v>
      </c>
      <c r="C377" s="1">
        <v>46223.174305555556</v>
      </c>
      <c r="D377" t="str">
        <f t="shared" si="5"/>
        <v>Returning User</v>
      </c>
    </row>
    <row r="378" spans="1:4" x14ac:dyDescent="0.45">
      <c r="A378" s="4" t="s">
        <v>155</v>
      </c>
      <c r="B378" s="4" t="s">
        <v>27</v>
      </c>
      <c r="C378" s="1">
        <v>46223.176388888889</v>
      </c>
      <c r="D378" t="str">
        <f t="shared" si="5"/>
        <v>Returning User</v>
      </c>
    </row>
    <row r="379" spans="1:4" x14ac:dyDescent="0.45">
      <c r="A379" s="4" t="s">
        <v>160</v>
      </c>
      <c r="B379" s="4" t="s">
        <v>4</v>
      </c>
      <c r="C379" s="1">
        <v>46223.166666666664</v>
      </c>
      <c r="D379" t="str">
        <f t="shared" si="5"/>
        <v>Returning User</v>
      </c>
    </row>
    <row r="380" spans="1:4" x14ac:dyDescent="0.45">
      <c r="A380" s="4" t="s">
        <v>167</v>
      </c>
      <c r="B380" s="4" t="s">
        <v>4</v>
      </c>
      <c r="C380" s="1">
        <v>46223.183333333334</v>
      </c>
      <c r="D380" t="str">
        <f t="shared" si="5"/>
        <v>Returning User</v>
      </c>
    </row>
    <row r="381" spans="1:4" x14ac:dyDescent="0.45">
      <c r="A381" s="4" t="s">
        <v>169</v>
      </c>
      <c r="B381" s="4" t="s">
        <v>13</v>
      </c>
      <c r="C381" s="1">
        <v>46223.197222222225</v>
      </c>
      <c r="D381" t="str">
        <f t="shared" si="5"/>
        <v>Returning User</v>
      </c>
    </row>
    <row r="382" spans="1:4" x14ac:dyDescent="0.45">
      <c r="A382" s="4" t="s">
        <v>41</v>
      </c>
      <c r="B382" s="4" t="s">
        <v>4</v>
      </c>
      <c r="C382" s="1">
        <v>46223.160416666666</v>
      </c>
      <c r="D382" t="str">
        <f t="shared" si="5"/>
        <v>Returning User</v>
      </c>
    </row>
    <row r="383" spans="1:4" x14ac:dyDescent="0.45">
      <c r="A383" s="4" t="s">
        <v>33</v>
      </c>
      <c r="B383" s="4" t="s">
        <v>7</v>
      </c>
      <c r="C383" s="1">
        <v>46223.147222222222</v>
      </c>
      <c r="D383" t="str">
        <f t="shared" si="5"/>
        <v>New User</v>
      </c>
    </row>
    <row r="384" spans="1:4" x14ac:dyDescent="0.45">
      <c r="A384" s="4" t="s">
        <v>31</v>
      </c>
      <c r="B384" s="4" t="s">
        <v>40</v>
      </c>
      <c r="C384" s="1">
        <v>46223.190972222219</v>
      </c>
      <c r="D384" t="str">
        <f t="shared" si="5"/>
        <v>Returning User</v>
      </c>
    </row>
    <row r="385" spans="1:4" x14ac:dyDescent="0.45">
      <c r="A385" s="4" t="s">
        <v>174</v>
      </c>
      <c r="B385" s="4" t="s">
        <v>4</v>
      </c>
      <c r="C385" s="1">
        <v>46223.167361111111</v>
      </c>
      <c r="D385" t="str">
        <f t="shared" si="5"/>
        <v>Returning User</v>
      </c>
    </row>
    <row r="386" spans="1:4" x14ac:dyDescent="0.45">
      <c r="A386" s="4" t="s">
        <v>124</v>
      </c>
      <c r="B386" s="4" t="s">
        <v>13</v>
      </c>
      <c r="C386" s="1">
        <v>46223.202777777777</v>
      </c>
      <c r="D386" t="str">
        <f t="shared" ref="D386:D449" si="6">IF(B386="visited_site","New User",IF(AND(OR(B386="signup_started",B386="details_filled",B386="email_verified",B386="purchase_completed"),COUNTIFS($A:$A,A386,$B:$B,"visited_site")&gt;0),"Returning User","Unknown"))</f>
        <v>Returning User</v>
      </c>
    </row>
    <row r="387" spans="1:4" x14ac:dyDescent="0.45">
      <c r="A387" s="4" t="s">
        <v>101</v>
      </c>
      <c r="B387" s="4" t="s">
        <v>27</v>
      </c>
      <c r="C387" s="1">
        <v>46223.191666666666</v>
      </c>
      <c r="D387" t="str">
        <f t="shared" si="6"/>
        <v>Returning User</v>
      </c>
    </row>
    <row r="388" spans="1:4" x14ac:dyDescent="0.45">
      <c r="A388" s="4" t="s">
        <v>48</v>
      </c>
      <c r="B388" s="4" t="s">
        <v>13</v>
      </c>
      <c r="C388" s="1">
        <v>46223.183333333334</v>
      </c>
      <c r="D388" t="str">
        <f t="shared" si="6"/>
        <v>Returning User</v>
      </c>
    </row>
    <row r="389" spans="1:4" x14ac:dyDescent="0.45">
      <c r="A389" s="4" t="s">
        <v>197</v>
      </c>
      <c r="B389" s="4" t="s">
        <v>4</v>
      </c>
      <c r="C389" s="1">
        <v>46223.175694444442</v>
      </c>
      <c r="D389" t="str">
        <f t="shared" si="6"/>
        <v>Returning User</v>
      </c>
    </row>
    <row r="390" spans="1:4" x14ac:dyDescent="0.45">
      <c r="A390" s="4" t="s">
        <v>72</v>
      </c>
      <c r="B390" s="4" t="s">
        <v>7</v>
      </c>
      <c r="C390" s="1">
        <v>46223.158333333333</v>
      </c>
      <c r="D390" t="str">
        <f t="shared" si="6"/>
        <v>New User</v>
      </c>
    </row>
    <row r="391" spans="1:4" x14ac:dyDescent="0.45">
      <c r="A391" s="4" t="s">
        <v>34</v>
      </c>
      <c r="B391" s="4" t="s">
        <v>4</v>
      </c>
      <c r="C391" s="1">
        <v>46223.169444444444</v>
      </c>
      <c r="D391" t="str">
        <f t="shared" si="6"/>
        <v>Returning User</v>
      </c>
    </row>
    <row r="392" spans="1:4" x14ac:dyDescent="0.45">
      <c r="A392" s="4" t="s">
        <v>154</v>
      </c>
      <c r="B392" s="4" t="s">
        <v>7</v>
      </c>
      <c r="C392" s="1">
        <v>46223.17291666667</v>
      </c>
      <c r="D392" t="str">
        <f t="shared" si="6"/>
        <v>New User</v>
      </c>
    </row>
    <row r="393" spans="1:4" x14ac:dyDescent="0.45">
      <c r="A393" s="4" t="s">
        <v>198</v>
      </c>
      <c r="B393" s="4" t="s">
        <v>40</v>
      </c>
      <c r="C393" s="1">
        <v>46223.206944444442</v>
      </c>
      <c r="D393" t="str">
        <f t="shared" si="6"/>
        <v>Returning User</v>
      </c>
    </row>
    <row r="394" spans="1:4" x14ac:dyDescent="0.45">
      <c r="A394" s="4" t="s">
        <v>18</v>
      </c>
      <c r="B394" s="4" t="s">
        <v>4</v>
      </c>
      <c r="C394" s="1">
        <v>46223.17083333333</v>
      </c>
      <c r="D394" t="str">
        <f t="shared" si="6"/>
        <v>Returning User</v>
      </c>
    </row>
    <row r="395" spans="1:4" x14ac:dyDescent="0.45">
      <c r="A395" s="4" t="s">
        <v>67</v>
      </c>
      <c r="B395" s="4" t="s">
        <v>7</v>
      </c>
      <c r="C395" s="1">
        <v>46223.17083333333</v>
      </c>
      <c r="D395" t="str">
        <f t="shared" si="6"/>
        <v>New User</v>
      </c>
    </row>
    <row r="396" spans="1:4" x14ac:dyDescent="0.45">
      <c r="A396" s="4" t="s">
        <v>119</v>
      </c>
      <c r="B396" s="4" t="s">
        <v>13</v>
      </c>
      <c r="C396" s="1">
        <v>46223.199305555558</v>
      </c>
      <c r="D396" t="str">
        <f t="shared" si="6"/>
        <v>Returning User</v>
      </c>
    </row>
    <row r="397" spans="1:4" x14ac:dyDescent="0.45">
      <c r="A397" s="4" t="s">
        <v>197</v>
      </c>
      <c r="B397" s="4" t="s">
        <v>7</v>
      </c>
      <c r="C397" s="1">
        <v>46223.168749999997</v>
      </c>
      <c r="D397" t="str">
        <f t="shared" si="6"/>
        <v>New User</v>
      </c>
    </row>
    <row r="398" spans="1:4" x14ac:dyDescent="0.45">
      <c r="A398" s="4" t="s">
        <v>181</v>
      </c>
      <c r="B398" s="4" t="s">
        <v>27</v>
      </c>
      <c r="C398" s="1">
        <v>46223.180555555555</v>
      </c>
      <c r="D398" t="str">
        <f t="shared" si="6"/>
        <v>Returning User</v>
      </c>
    </row>
    <row r="399" spans="1:4" x14ac:dyDescent="0.45">
      <c r="A399" s="4" t="s">
        <v>122</v>
      </c>
      <c r="B399" s="4" t="s">
        <v>40</v>
      </c>
      <c r="C399" s="1">
        <v>46223.195833333331</v>
      </c>
      <c r="D399" t="str">
        <f t="shared" si="6"/>
        <v>Returning User</v>
      </c>
    </row>
    <row r="400" spans="1:4" x14ac:dyDescent="0.45">
      <c r="A400" s="4" t="s">
        <v>70</v>
      </c>
      <c r="B400" s="4" t="s">
        <v>4</v>
      </c>
      <c r="C400" s="1">
        <v>46223.15902777778</v>
      </c>
      <c r="D400" t="str">
        <f t="shared" si="6"/>
        <v>Returning User</v>
      </c>
    </row>
    <row r="401" spans="1:4" x14ac:dyDescent="0.45">
      <c r="A401" s="4" t="s">
        <v>199</v>
      </c>
      <c r="B401" s="4" t="s">
        <v>7</v>
      </c>
      <c r="C401" s="1">
        <v>46223.17083333333</v>
      </c>
      <c r="D401" t="str">
        <f t="shared" si="6"/>
        <v>New User</v>
      </c>
    </row>
    <row r="402" spans="1:4" x14ac:dyDescent="0.45">
      <c r="A402" s="4" t="s">
        <v>116</v>
      </c>
      <c r="B402" s="4" t="s">
        <v>7</v>
      </c>
      <c r="C402" s="1">
        <v>46223.165277777778</v>
      </c>
      <c r="D402" t="str">
        <f t="shared" si="6"/>
        <v>New User</v>
      </c>
    </row>
    <row r="403" spans="1:4" x14ac:dyDescent="0.45">
      <c r="A403" s="4" t="s">
        <v>130</v>
      </c>
      <c r="B403" s="4" t="s">
        <v>4</v>
      </c>
      <c r="C403" s="1">
        <v>46223.181944444441</v>
      </c>
      <c r="D403" t="str">
        <f t="shared" si="6"/>
        <v>Returning User</v>
      </c>
    </row>
    <row r="404" spans="1:4" x14ac:dyDescent="0.45">
      <c r="A404" s="4" t="s">
        <v>126</v>
      </c>
      <c r="B404" s="4" t="s">
        <v>13</v>
      </c>
      <c r="C404" s="1">
        <v>46223.179166666669</v>
      </c>
      <c r="D404" t="str">
        <f t="shared" si="6"/>
        <v>Returning User</v>
      </c>
    </row>
    <row r="405" spans="1:4" x14ac:dyDescent="0.45">
      <c r="A405" s="4" t="s">
        <v>6</v>
      </c>
      <c r="B405" s="4" t="s">
        <v>4</v>
      </c>
      <c r="C405" s="1">
        <v>46223.172222222223</v>
      </c>
      <c r="D405" t="str">
        <f t="shared" si="6"/>
        <v>Returning User</v>
      </c>
    </row>
    <row r="406" spans="1:4" x14ac:dyDescent="0.45">
      <c r="A406" s="4" t="s">
        <v>177</v>
      </c>
      <c r="B406" s="4" t="s">
        <v>7</v>
      </c>
      <c r="C406" s="1">
        <v>46223.171527777777</v>
      </c>
      <c r="D406" t="str">
        <f t="shared" si="6"/>
        <v>New User</v>
      </c>
    </row>
    <row r="407" spans="1:4" x14ac:dyDescent="0.45">
      <c r="A407" s="4" t="s">
        <v>6</v>
      </c>
      <c r="B407" s="4" t="s">
        <v>27</v>
      </c>
      <c r="C407" s="1">
        <v>46223.170138888891</v>
      </c>
      <c r="D407" t="str">
        <f t="shared" si="6"/>
        <v>Returning User</v>
      </c>
    </row>
    <row r="408" spans="1:4" x14ac:dyDescent="0.45">
      <c r="A408" s="4" t="s">
        <v>50</v>
      </c>
      <c r="B408" s="4" t="s">
        <v>7</v>
      </c>
      <c r="C408" s="1">
        <v>46223.162499999999</v>
      </c>
      <c r="D408" t="str">
        <f t="shared" si="6"/>
        <v>New User</v>
      </c>
    </row>
    <row r="409" spans="1:4" x14ac:dyDescent="0.45">
      <c r="A409" s="4" t="s">
        <v>46</v>
      </c>
      <c r="B409" s="4" t="s">
        <v>7</v>
      </c>
      <c r="C409" s="1">
        <v>46223.154861111114</v>
      </c>
      <c r="D409" t="str">
        <f t="shared" si="6"/>
        <v>New User</v>
      </c>
    </row>
    <row r="410" spans="1:4" x14ac:dyDescent="0.45">
      <c r="A410" s="4" t="s">
        <v>200</v>
      </c>
      <c r="B410" s="4" t="s">
        <v>40</v>
      </c>
      <c r="C410" s="1">
        <v>46223.20416666667</v>
      </c>
      <c r="D410" t="str">
        <f t="shared" si="6"/>
        <v>Returning User</v>
      </c>
    </row>
    <row r="411" spans="1:4" x14ac:dyDescent="0.45">
      <c r="A411" s="4" t="s">
        <v>172</v>
      </c>
      <c r="B411" s="4" t="s">
        <v>27</v>
      </c>
      <c r="C411" s="1">
        <v>46223.193749999999</v>
      </c>
      <c r="D411" t="str">
        <f t="shared" si="6"/>
        <v>Returning User</v>
      </c>
    </row>
    <row r="412" spans="1:4" x14ac:dyDescent="0.45">
      <c r="A412" s="4" t="s">
        <v>18</v>
      </c>
      <c r="B412" s="4" t="s">
        <v>27</v>
      </c>
      <c r="C412" s="1">
        <v>46223.193055555559</v>
      </c>
      <c r="D412" t="str">
        <f t="shared" si="6"/>
        <v>Returning User</v>
      </c>
    </row>
    <row r="413" spans="1:4" x14ac:dyDescent="0.45">
      <c r="A413" s="4" t="s">
        <v>101</v>
      </c>
      <c r="B413" s="4" t="s">
        <v>4</v>
      </c>
      <c r="C413" s="1">
        <v>46223.183333333334</v>
      </c>
      <c r="D413" t="str">
        <f t="shared" si="6"/>
        <v>Returning User</v>
      </c>
    </row>
    <row r="414" spans="1:4" x14ac:dyDescent="0.45">
      <c r="A414" s="4" t="s">
        <v>201</v>
      </c>
      <c r="B414" s="4" t="s">
        <v>27</v>
      </c>
      <c r="C414" s="1">
        <v>46223.189583333333</v>
      </c>
      <c r="D414" t="str">
        <f t="shared" si="6"/>
        <v>Returning User</v>
      </c>
    </row>
    <row r="415" spans="1:4" x14ac:dyDescent="0.45">
      <c r="A415" s="4" t="s">
        <v>142</v>
      </c>
      <c r="B415" s="4" t="s">
        <v>4</v>
      </c>
      <c r="C415" s="1">
        <v>46223.173611111109</v>
      </c>
      <c r="D415" t="str">
        <f t="shared" si="6"/>
        <v>Returning User</v>
      </c>
    </row>
    <row r="416" spans="1:4" x14ac:dyDescent="0.45">
      <c r="A416" s="4" t="s">
        <v>94</v>
      </c>
      <c r="B416" s="4" t="s">
        <v>27</v>
      </c>
      <c r="C416" s="1">
        <v>46223.184027777781</v>
      </c>
      <c r="D416" t="str">
        <f t="shared" si="6"/>
        <v>Returning User</v>
      </c>
    </row>
    <row r="417" spans="1:4" x14ac:dyDescent="0.45">
      <c r="A417" s="4" t="s">
        <v>132</v>
      </c>
      <c r="B417" s="4" t="s">
        <v>7</v>
      </c>
      <c r="C417" s="1">
        <v>46223.17083333333</v>
      </c>
      <c r="D417" t="str">
        <f t="shared" si="6"/>
        <v>New User</v>
      </c>
    </row>
    <row r="418" spans="1:4" x14ac:dyDescent="0.45">
      <c r="A418" s="4" t="s">
        <v>77</v>
      </c>
      <c r="B418" s="4" t="s">
        <v>4</v>
      </c>
      <c r="C418" s="1">
        <v>46223.157638888886</v>
      </c>
      <c r="D418" t="str">
        <f t="shared" si="6"/>
        <v>Returning User</v>
      </c>
    </row>
    <row r="419" spans="1:4" x14ac:dyDescent="0.45">
      <c r="A419" s="4" t="s">
        <v>202</v>
      </c>
      <c r="B419" s="4" t="s">
        <v>40</v>
      </c>
      <c r="C419" s="1">
        <v>46223.211805555555</v>
      </c>
      <c r="D419" t="str">
        <f t="shared" si="6"/>
        <v>Returning User</v>
      </c>
    </row>
    <row r="420" spans="1:4" x14ac:dyDescent="0.45">
      <c r="A420" s="4" t="s">
        <v>167</v>
      </c>
      <c r="B420" s="4" t="s">
        <v>40</v>
      </c>
      <c r="C420" s="1">
        <v>46223.189583333333</v>
      </c>
      <c r="D420" t="str">
        <f t="shared" si="6"/>
        <v>Returning User</v>
      </c>
    </row>
    <row r="421" spans="1:4" x14ac:dyDescent="0.45">
      <c r="A421" s="4" t="s">
        <v>112</v>
      </c>
      <c r="B421" s="4" t="s">
        <v>27</v>
      </c>
      <c r="C421" s="1">
        <v>46223.177777777775</v>
      </c>
      <c r="D421" t="str">
        <f t="shared" si="6"/>
        <v>Returning User</v>
      </c>
    </row>
    <row r="422" spans="1:4" x14ac:dyDescent="0.45">
      <c r="A422" s="4" t="s">
        <v>175</v>
      </c>
      <c r="B422" s="4" t="s">
        <v>4</v>
      </c>
      <c r="C422" s="1">
        <v>46223.15625</v>
      </c>
      <c r="D422" t="str">
        <f t="shared" si="6"/>
        <v>Returning User</v>
      </c>
    </row>
    <row r="423" spans="1:4" x14ac:dyDescent="0.45">
      <c r="A423" s="4" t="s">
        <v>138</v>
      </c>
      <c r="B423" s="4" t="s">
        <v>7</v>
      </c>
      <c r="C423" s="1">
        <v>46223.168749999997</v>
      </c>
      <c r="D423" t="str">
        <f t="shared" si="6"/>
        <v>New User</v>
      </c>
    </row>
    <row r="424" spans="1:4" x14ac:dyDescent="0.45">
      <c r="A424" s="4" t="s">
        <v>76</v>
      </c>
      <c r="B424" s="4" t="s">
        <v>40</v>
      </c>
      <c r="C424" s="1">
        <v>46223.213194444441</v>
      </c>
      <c r="D424" t="str">
        <f t="shared" si="6"/>
        <v>Returning User</v>
      </c>
    </row>
    <row r="425" spans="1:4" x14ac:dyDescent="0.45">
      <c r="A425" s="4" t="s">
        <v>75</v>
      </c>
      <c r="B425" s="4" t="s">
        <v>7</v>
      </c>
      <c r="C425" s="1">
        <v>46223.152083333334</v>
      </c>
      <c r="D425" t="str">
        <f t="shared" si="6"/>
        <v>New User</v>
      </c>
    </row>
    <row r="426" spans="1:4" x14ac:dyDescent="0.45">
      <c r="A426" s="4" t="s">
        <v>172</v>
      </c>
      <c r="B426" s="4" t="s">
        <v>4</v>
      </c>
      <c r="C426" s="1">
        <v>46223.175694444442</v>
      </c>
      <c r="D426" t="str">
        <f t="shared" si="6"/>
        <v>Returning User</v>
      </c>
    </row>
    <row r="427" spans="1:4" x14ac:dyDescent="0.45">
      <c r="A427" s="4" t="s">
        <v>202</v>
      </c>
      <c r="B427" s="4" t="s">
        <v>4</v>
      </c>
      <c r="C427" s="1">
        <v>46223.17291666667</v>
      </c>
      <c r="D427" t="str">
        <f t="shared" si="6"/>
        <v>Returning User</v>
      </c>
    </row>
    <row r="428" spans="1:4" x14ac:dyDescent="0.45">
      <c r="A428" s="4" t="s">
        <v>97</v>
      </c>
      <c r="B428" s="4" t="s">
        <v>7</v>
      </c>
      <c r="C428" s="1">
        <v>46223.163194444445</v>
      </c>
      <c r="D428" t="str">
        <f t="shared" si="6"/>
        <v>New User</v>
      </c>
    </row>
    <row r="429" spans="1:4" x14ac:dyDescent="0.45">
      <c r="A429" s="4" t="s">
        <v>201</v>
      </c>
      <c r="B429" s="4" t="s">
        <v>7</v>
      </c>
      <c r="C429" s="1">
        <v>46223.155555555553</v>
      </c>
      <c r="D429" t="str">
        <f t="shared" si="6"/>
        <v>New User</v>
      </c>
    </row>
    <row r="430" spans="1:4" x14ac:dyDescent="0.45">
      <c r="A430" s="4" t="s">
        <v>111</v>
      </c>
      <c r="B430" s="4" t="s">
        <v>4</v>
      </c>
      <c r="C430" s="1">
        <v>46223.156944444447</v>
      </c>
      <c r="D430" t="str">
        <f t="shared" si="6"/>
        <v>Returning User</v>
      </c>
    </row>
    <row r="431" spans="1:4" x14ac:dyDescent="0.45">
      <c r="A431" s="4" t="s">
        <v>166</v>
      </c>
      <c r="B431" s="4" t="s">
        <v>7</v>
      </c>
      <c r="C431" s="1">
        <v>46223.155555555553</v>
      </c>
      <c r="D431" t="str">
        <f t="shared" si="6"/>
        <v>New User</v>
      </c>
    </row>
    <row r="432" spans="1:4" x14ac:dyDescent="0.45">
      <c r="A432" s="4" t="s">
        <v>80</v>
      </c>
      <c r="B432" s="4" t="s">
        <v>7</v>
      </c>
      <c r="C432" s="1">
        <v>46223.163888888892</v>
      </c>
      <c r="D432" t="str">
        <f t="shared" si="6"/>
        <v>New User</v>
      </c>
    </row>
    <row r="433" spans="1:4" x14ac:dyDescent="0.45">
      <c r="A433" s="4" t="s">
        <v>9</v>
      </c>
      <c r="B433" s="4" t="s">
        <v>4</v>
      </c>
      <c r="C433" s="1">
        <v>46223.163888888892</v>
      </c>
      <c r="D433" t="str">
        <f t="shared" si="6"/>
        <v>Returning User</v>
      </c>
    </row>
    <row r="434" spans="1:4" x14ac:dyDescent="0.45">
      <c r="A434" s="4" t="s">
        <v>142</v>
      </c>
      <c r="B434" s="4" t="s">
        <v>7</v>
      </c>
      <c r="C434" s="1">
        <v>46223.154166666667</v>
      </c>
      <c r="D434" t="str">
        <f t="shared" si="6"/>
        <v>New User</v>
      </c>
    </row>
    <row r="435" spans="1:4" x14ac:dyDescent="0.45">
      <c r="A435" s="4" t="s">
        <v>124</v>
      </c>
      <c r="B435" s="4" t="s">
        <v>7</v>
      </c>
      <c r="C435" s="1">
        <v>46223.168749999997</v>
      </c>
      <c r="D435" t="str">
        <f t="shared" si="6"/>
        <v>New User</v>
      </c>
    </row>
    <row r="436" spans="1:4" x14ac:dyDescent="0.45">
      <c r="A436" s="4" t="s">
        <v>163</v>
      </c>
      <c r="B436" s="4" t="s">
        <v>4</v>
      </c>
      <c r="C436" s="1">
        <v>46223.163888888892</v>
      </c>
      <c r="D436" t="str">
        <f t="shared" si="6"/>
        <v>Returning User</v>
      </c>
    </row>
    <row r="437" spans="1:4" x14ac:dyDescent="0.45">
      <c r="A437" s="4" t="s">
        <v>117</v>
      </c>
      <c r="B437" s="4" t="s">
        <v>4</v>
      </c>
      <c r="C437" s="1">
        <v>46223.15902777778</v>
      </c>
      <c r="D437" t="str">
        <f t="shared" si="6"/>
        <v>Returning User</v>
      </c>
    </row>
    <row r="438" spans="1:4" x14ac:dyDescent="0.45">
      <c r="A438" s="4" t="s">
        <v>80</v>
      </c>
      <c r="B438" s="4" t="s">
        <v>4</v>
      </c>
      <c r="C438" s="1">
        <v>46223.171527777777</v>
      </c>
      <c r="D438" t="str">
        <f t="shared" si="6"/>
        <v>Returning User</v>
      </c>
    </row>
    <row r="439" spans="1:4" x14ac:dyDescent="0.45">
      <c r="A439" s="4" t="s">
        <v>137</v>
      </c>
      <c r="B439" s="4" t="s">
        <v>27</v>
      </c>
      <c r="C439" s="1">
        <v>46223.193055555559</v>
      </c>
      <c r="D439" t="str">
        <f t="shared" si="6"/>
        <v>Returning User</v>
      </c>
    </row>
    <row r="440" spans="1:4" x14ac:dyDescent="0.45">
      <c r="A440" s="4" t="s">
        <v>145</v>
      </c>
      <c r="B440" s="4" t="s">
        <v>13</v>
      </c>
      <c r="C440" s="1">
        <v>46223.186111111114</v>
      </c>
      <c r="D440" t="str">
        <f t="shared" si="6"/>
        <v>Returning User</v>
      </c>
    </row>
    <row r="441" spans="1:4" x14ac:dyDescent="0.45">
      <c r="A441" s="4" t="s">
        <v>203</v>
      </c>
      <c r="B441" s="4" t="s">
        <v>4</v>
      </c>
      <c r="C441" s="1">
        <v>46223.158333333333</v>
      </c>
      <c r="D441" t="str">
        <f t="shared" si="6"/>
        <v>Returning User</v>
      </c>
    </row>
    <row r="442" spans="1:4" x14ac:dyDescent="0.45">
      <c r="A442" s="4" t="s">
        <v>173</v>
      </c>
      <c r="B442" s="4" t="s">
        <v>7</v>
      </c>
      <c r="C442" s="1">
        <v>46223.154166666667</v>
      </c>
      <c r="D442" t="str">
        <f t="shared" si="6"/>
        <v>New User</v>
      </c>
    </row>
    <row r="443" spans="1:4" x14ac:dyDescent="0.45">
      <c r="A443" s="4" t="s">
        <v>199</v>
      </c>
      <c r="B443" s="4" t="s">
        <v>27</v>
      </c>
      <c r="C443" s="1">
        <v>46223.191666666666</v>
      </c>
      <c r="D443" t="str">
        <f t="shared" si="6"/>
        <v>Returning User</v>
      </c>
    </row>
    <row r="444" spans="1:4" x14ac:dyDescent="0.45">
      <c r="A444" s="4" t="s">
        <v>204</v>
      </c>
      <c r="B444" s="4" t="s">
        <v>27</v>
      </c>
      <c r="C444" s="1">
        <v>46223.190972222219</v>
      </c>
      <c r="D444" t="str">
        <f t="shared" si="6"/>
        <v>Returning User</v>
      </c>
    </row>
    <row r="445" spans="1:4" x14ac:dyDescent="0.45">
      <c r="A445" s="4" t="s">
        <v>205</v>
      </c>
      <c r="B445" s="4" t="s">
        <v>7</v>
      </c>
      <c r="C445" s="1">
        <v>46223.168055555558</v>
      </c>
      <c r="D445" t="str">
        <f t="shared" si="6"/>
        <v>New User</v>
      </c>
    </row>
    <row r="446" spans="1:4" x14ac:dyDescent="0.45">
      <c r="A446" s="4" t="s">
        <v>92</v>
      </c>
      <c r="B446" s="4" t="s">
        <v>7</v>
      </c>
      <c r="C446" s="1">
        <v>46223.146527777775</v>
      </c>
      <c r="D446" t="str">
        <f t="shared" si="6"/>
        <v>New User</v>
      </c>
    </row>
    <row r="447" spans="1:4" x14ac:dyDescent="0.45">
      <c r="A447" s="4" t="s">
        <v>206</v>
      </c>
      <c r="B447" s="4" t="s">
        <v>7</v>
      </c>
      <c r="C447" s="1">
        <v>46223.15902777778</v>
      </c>
      <c r="D447" t="str">
        <f t="shared" si="6"/>
        <v>New User</v>
      </c>
    </row>
    <row r="448" spans="1:4" x14ac:dyDescent="0.45">
      <c r="A448" s="4" t="s">
        <v>158</v>
      </c>
      <c r="B448" s="4" t="s">
        <v>7</v>
      </c>
      <c r="C448" s="1">
        <v>46223.17083333333</v>
      </c>
      <c r="D448" t="str">
        <f t="shared" si="6"/>
        <v>New User</v>
      </c>
    </row>
    <row r="449" spans="1:4" x14ac:dyDescent="0.45">
      <c r="A449" s="4" t="s">
        <v>158</v>
      </c>
      <c r="B449" s="4" t="s">
        <v>13</v>
      </c>
      <c r="C449" s="1">
        <v>46223.189583333333</v>
      </c>
      <c r="D449" t="str">
        <f t="shared" si="6"/>
        <v>Returning User</v>
      </c>
    </row>
    <row r="450" spans="1:4" x14ac:dyDescent="0.45">
      <c r="A450" s="4" t="s">
        <v>107</v>
      </c>
      <c r="B450" s="4" t="s">
        <v>7</v>
      </c>
      <c r="C450" s="1">
        <v>46223.147916666669</v>
      </c>
      <c r="D450" t="str">
        <f t="shared" ref="D450:D513" si="7">IF(B450="visited_site","New User",IF(AND(OR(B450="signup_started",B450="details_filled",B450="email_verified",B450="purchase_completed"),COUNTIFS($A:$A,A450,$B:$B,"visited_site")&gt;0),"Returning User","Unknown"))</f>
        <v>New User</v>
      </c>
    </row>
    <row r="451" spans="1:4" x14ac:dyDescent="0.45">
      <c r="A451" s="4" t="s">
        <v>114</v>
      </c>
      <c r="B451" s="4" t="s">
        <v>27</v>
      </c>
      <c r="C451" s="1">
        <v>46223.179861111108</v>
      </c>
      <c r="D451" t="str">
        <f t="shared" si="7"/>
        <v>Returning User</v>
      </c>
    </row>
    <row r="452" spans="1:4" x14ac:dyDescent="0.45">
      <c r="A452" s="4" t="s">
        <v>139</v>
      </c>
      <c r="B452" s="4" t="s">
        <v>4</v>
      </c>
      <c r="C452" s="1">
        <v>46223.158333333333</v>
      </c>
      <c r="D452" t="str">
        <f t="shared" si="7"/>
        <v>Returning User</v>
      </c>
    </row>
    <row r="453" spans="1:4" x14ac:dyDescent="0.45">
      <c r="A453" s="4" t="s">
        <v>127</v>
      </c>
      <c r="B453" s="4" t="s">
        <v>7</v>
      </c>
      <c r="C453" s="1">
        <v>46223.154861111114</v>
      </c>
      <c r="D453" t="str">
        <f t="shared" si="7"/>
        <v>New User</v>
      </c>
    </row>
    <row r="454" spans="1:4" x14ac:dyDescent="0.45">
      <c r="A454" s="4" t="s">
        <v>207</v>
      </c>
      <c r="B454" s="4" t="s">
        <v>7</v>
      </c>
      <c r="C454" s="1">
        <v>46223.154861111114</v>
      </c>
      <c r="D454" t="str">
        <f t="shared" si="7"/>
        <v>New User</v>
      </c>
    </row>
    <row r="455" spans="1:4" x14ac:dyDescent="0.45">
      <c r="A455" s="4" t="s">
        <v>39</v>
      </c>
      <c r="B455" s="4" t="s">
        <v>7</v>
      </c>
      <c r="C455" s="1">
        <v>46223.15902777778</v>
      </c>
      <c r="D455" t="str">
        <f t="shared" si="7"/>
        <v>New User</v>
      </c>
    </row>
    <row r="456" spans="1:4" x14ac:dyDescent="0.45">
      <c r="A456" s="4" t="s">
        <v>152</v>
      </c>
      <c r="B456" s="4" t="s">
        <v>7</v>
      </c>
      <c r="C456" s="1">
        <v>46223.147222222222</v>
      </c>
      <c r="D456" t="str">
        <f t="shared" si="7"/>
        <v>New User</v>
      </c>
    </row>
    <row r="457" spans="1:4" x14ac:dyDescent="0.45">
      <c r="A457" s="4" t="s">
        <v>206</v>
      </c>
      <c r="B457" s="4" t="s">
        <v>40</v>
      </c>
      <c r="C457" s="1">
        <v>46223.204861111109</v>
      </c>
      <c r="D457" t="str">
        <f t="shared" si="7"/>
        <v>Returning User</v>
      </c>
    </row>
    <row r="458" spans="1:4" x14ac:dyDescent="0.45">
      <c r="A458" s="4" t="s">
        <v>195</v>
      </c>
      <c r="B458" s="4" t="s">
        <v>7</v>
      </c>
      <c r="C458" s="1">
        <v>46223.156944444447</v>
      </c>
      <c r="D458" t="str">
        <f t="shared" si="7"/>
        <v>New User</v>
      </c>
    </row>
    <row r="459" spans="1:4" x14ac:dyDescent="0.45">
      <c r="A459" s="4" t="s">
        <v>95</v>
      </c>
      <c r="B459" s="4" t="s">
        <v>4</v>
      </c>
      <c r="C459" s="1">
        <v>46223.180555555555</v>
      </c>
      <c r="D459" t="str">
        <f t="shared" si="7"/>
        <v>Returning User</v>
      </c>
    </row>
    <row r="460" spans="1:4" x14ac:dyDescent="0.45">
      <c r="A460" s="4" t="s">
        <v>171</v>
      </c>
      <c r="B460" s="4" t="s">
        <v>40</v>
      </c>
      <c r="C460" s="1">
        <v>46223.195833333331</v>
      </c>
      <c r="D460" t="str">
        <f t="shared" si="7"/>
        <v>Returning User</v>
      </c>
    </row>
    <row r="461" spans="1:4" x14ac:dyDescent="0.45">
      <c r="A461" s="4" t="s">
        <v>85</v>
      </c>
      <c r="B461" s="4" t="s">
        <v>13</v>
      </c>
      <c r="C461" s="1">
        <v>46223.194444444445</v>
      </c>
      <c r="D461" t="str">
        <f t="shared" si="7"/>
        <v>Returning User</v>
      </c>
    </row>
    <row r="462" spans="1:4" x14ac:dyDescent="0.45">
      <c r="A462" s="4" t="s">
        <v>24</v>
      </c>
      <c r="B462" s="4" t="s">
        <v>7</v>
      </c>
      <c r="C462" s="1">
        <v>46223.149305555555</v>
      </c>
      <c r="D462" t="str">
        <f t="shared" si="7"/>
        <v>New User</v>
      </c>
    </row>
    <row r="463" spans="1:4" x14ac:dyDescent="0.45">
      <c r="A463" s="4" t="s">
        <v>71</v>
      </c>
      <c r="B463" s="4" t="s">
        <v>27</v>
      </c>
      <c r="C463" s="1">
        <v>46223.186111111114</v>
      </c>
      <c r="D463" t="str">
        <f t="shared" si="7"/>
        <v>Returning User</v>
      </c>
    </row>
    <row r="464" spans="1:4" x14ac:dyDescent="0.45">
      <c r="A464" s="4" t="s">
        <v>149</v>
      </c>
      <c r="B464" s="4" t="s">
        <v>27</v>
      </c>
      <c r="C464" s="1">
        <v>46223.168055555558</v>
      </c>
      <c r="D464" t="str">
        <f t="shared" si="7"/>
        <v>Returning User</v>
      </c>
    </row>
    <row r="465" spans="1:4" x14ac:dyDescent="0.45">
      <c r="A465" s="4" t="s">
        <v>47</v>
      </c>
      <c r="B465" s="4" t="s">
        <v>7</v>
      </c>
      <c r="C465" s="1">
        <v>46223.158333333333</v>
      </c>
      <c r="D465" t="str">
        <f t="shared" si="7"/>
        <v>New User</v>
      </c>
    </row>
    <row r="466" spans="1:4" x14ac:dyDescent="0.45">
      <c r="A466" s="4" t="s">
        <v>89</v>
      </c>
      <c r="B466" s="4" t="s">
        <v>13</v>
      </c>
      <c r="C466" s="1">
        <v>46223.197916666664</v>
      </c>
      <c r="D466" t="str">
        <f t="shared" si="7"/>
        <v>Returning User</v>
      </c>
    </row>
    <row r="467" spans="1:4" x14ac:dyDescent="0.45">
      <c r="A467" s="4" t="s">
        <v>93</v>
      </c>
      <c r="B467" s="4" t="s">
        <v>7</v>
      </c>
      <c r="C467" s="1">
        <v>46223.169444444444</v>
      </c>
      <c r="D467" t="str">
        <f t="shared" si="7"/>
        <v>New User</v>
      </c>
    </row>
    <row r="468" spans="1:4" x14ac:dyDescent="0.45">
      <c r="A468" s="4" t="s">
        <v>200</v>
      </c>
      <c r="B468" s="4" t="s">
        <v>4</v>
      </c>
      <c r="C468" s="1">
        <v>46223.177777777775</v>
      </c>
      <c r="D468" t="str">
        <f t="shared" si="7"/>
        <v>Returning User</v>
      </c>
    </row>
    <row r="469" spans="1:4" x14ac:dyDescent="0.45">
      <c r="A469" s="4" t="s">
        <v>157</v>
      </c>
      <c r="B469" s="4" t="s">
        <v>7</v>
      </c>
      <c r="C469" s="1">
        <v>46223.148611111108</v>
      </c>
      <c r="D469" t="str">
        <f t="shared" si="7"/>
        <v>New User</v>
      </c>
    </row>
    <row r="470" spans="1:4" x14ac:dyDescent="0.45">
      <c r="A470" s="4" t="s">
        <v>198</v>
      </c>
      <c r="B470" s="4" t="s">
        <v>4</v>
      </c>
      <c r="C470" s="1">
        <v>46223.175694444442</v>
      </c>
      <c r="D470" t="str">
        <f t="shared" si="7"/>
        <v>Returning User</v>
      </c>
    </row>
    <row r="471" spans="1:4" x14ac:dyDescent="0.45">
      <c r="A471" s="4" t="s">
        <v>206</v>
      </c>
      <c r="B471" s="4" t="s">
        <v>4</v>
      </c>
      <c r="C471" s="1">
        <v>46223.15902777778</v>
      </c>
      <c r="D471" t="str">
        <f t="shared" si="7"/>
        <v>Returning User</v>
      </c>
    </row>
    <row r="472" spans="1:4" x14ac:dyDescent="0.45">
      <c r="A472" s="4" t="s">
        <v>136</v>
      </c>
      <c r="B472" s="4" t="s">
        <v>7</v>
      </c>
      <c r="C472" s="1">
        <v>46223.15</v>
      </c>
      <c r="D472" t="str">
        <f t="shared" si="7"/>
        <v>New User</v>
      </c>
    </row>
    <row r="473" spans="1:4" x14ac:dyDescent="0.45">
      <c r="A473" s="4" t="s">
        <v>140</v>
      </c>
      <c r="B473" s="4" t="s">
        <v>7</v>
      </c>
      <c r="C473" s="1">
        <v>46223.170138888891</v>
      </c>
      <c r="D473" t="str">
        <f t="shared" si="7"/>
        <v>New User</v>
      </c>
    </row>
    <row r="474" spans="1:4" x14ac:dyDescent="0.45">
      <c r="A474" s="4" t="s">
        <v>191</v>
      </c>
      <c r="B474" s="4" t="s">
        <v>7</v>
      </c>
      <c r="C474" s="1">
        <v>46223.165972222225</v>
      </c>
      <c r="D474" t="str">
        <f t="shared" si="7"/>
        <v>New User</v>
      </c>
    </row>
    <row r="475" spans="1:4" x14ac:dyDescent="0.45">
      <c r="A475" s="4" t="s">
        <v>54</v>
      </c>
      <c r="B475" s="4" t="s">
        <v>7</v>
      </c>
      <c r="C475" s="1">
        <v>46223.152083333334</v>
      </c>
      <c r="D475" t="str">
        <f t="shared" si="7"/>
        <v>New User</v>
      </c>
    </row>
    <row r="476" spans="1:4" x14ac:dyDescent="0.45">
      <c r="A476" s="4" t="s">
        <v>202</v>
      </c>
      <c r="B476" s="4" t="s">
        <v>7</v>
      </c>
      <c r="C476" s="1">
        <v>46223.168749999997</v>
      </c>
      <c r="D476" t="str">
        <f t="shared" si="7"/>
        <v>New User</v>
      </c>
    </row>
    <row r="477" spans="1:4" x14ac:dyDescent="0.45">
      <c r="A477" s="4" t="s">
        <v>129</v>
      </c>
      <c r="B477" s="4" t="s">
        <v>7</v>
      </c>
      <c r="C477" s="1">
        <v>46223.160416666666</v>
      </c>
      <c r="D477" t="str">
        <f t="shared" si="7"/>
        <v>New User</v>
      </c>
    </row>
    <row r="478" spans="1:4" x14ac:dyDescent="0.45">
      <c r="A478" s="4" t="s">
        <v>111</v>
      </c>
      <c r="B478" s="4" t="s">
        <v>7</v>
      </c>
      <c r="C478" s="1">
        <v>46223.155555555553</v>
      </c>
      <c r="D478" t="str">
        <f t="shared" si="7"/>
        <v>New User</v>
      </c>
    </row>
    <row r="479" spans="1:4" x14ac:dyDescent="0.45">
      <c r="A479" s="4" t="s">
        <v>58</v>
      </c>
      <c r="B479" s="4" t="s">
        <v>7</v>
      </c>
      <c r="C479" s="1">
        <v>46223.155555555553</v>
      </c>
      <c r="D479" t="str">
        <f t="shared" si="7"/>
        <v>New User</v>
      </c>
    </row>
    <row r="480" spans="1:4" x14ac:dyDescent="0.45">
      <c r="A480" s="4" t="s">
        <v>193</v>
      </c>
      <c r="B480" s="4" t="s">
        <v>7</v>
      </c>
      <c r="C480" s="1">
        <v>46223.15</v>
      </c>
      <c r="D480" t="str">
        <f t="shared" si="7"/>
        <v>New User</v>
      </c>
    </row>
    <row r="481" spans="1:4" x14ac:dyDescent="0.45">
      <c r="A481" s="4" t="s">
        <v>159</v>
      </c>
      <c r="B481" s="4" t="s">
        <v>40</v>
      </c>
      <c r="C481" s="1">
        <v>46223.209722222222</v>
      </c>
      <c r="D481" t="str">
        <f t="shared" si="7"/>
        <v>Returning User</v>
      </c>
    </row>
    <row r="482" spans="1:4" x14ac:dyDescent="0.45">
      <c r="A482" s="4" t="s">
        <v>180</v>
      </c>
      <c r="B482" s="4" t="s">
        <v>7</v>
      </c>
      <c r="C482" s="1">
        <v>46223.167361111111</v>
      </c>
      <c r="D482" t="str">
        <f t="shared" si="7"/>
        <v>New User</v>
      </c>
    </row>
    <row r="483" spans="1:4" x14ac:dyDescent="0.45">
      <c r="A483" s="4" t="s">
        <v>20</v>
      </c>
      <c r="B483" s="4" t="s">
        <v>7</v>
      </c>
      <c r="C483" s="1">
        <v>46223.167361111111</v>
      </c>
      <c r="D483" t="str">
        <f t="shared" si="7"/>
        <v>New User</v>
      </c>
    </row>
    <row r="484" spans="1:4" x14ac:dyDescent="0.45">
      <c r="A484" s="4" t="s">
        <v>182</v>
      </c>
      <c r="B484" s="4" t="s">
        <v>7</v>
      </c>
      <c r="C484" s="1">
        <v>46223.163888888892</v>
      </c>
      <c r="D484" t="str">
        <f t="shared" si="7"/>
        <v>New User</v>
      </c>
    </row>
    <row r="485" spans="1:4" x14ac:dyDescent="0.45">
      <c r="A485" s="4" t="s">
        <v>141</v>
      </c>
      <c r="B485" s="4" t="s">
        <v>27</v>
      </c>
      <c r="C485" s="1">
        <v>46223.17291666667</v>
      </c>
      <c r="D485" t="str">
        <f t="shared" si="7"/>
        <v>Returning User</v>
      </c>
    </row>
    <row r="486" spans="1:4" x14ac:dyDescent="0.45">
      <c r="A486" s="4" t="s">
        <v>61</v>
      </c>
      <c r="B486" s="4" t="s">
        <v>7</v>
      </c>
      <c r="C486" s="1">
        <v>46223.164583333331</v>
      </c>
      <c r="D486" t="str">
        <f t="shared" si="7"/>
        <v>New User</v>
      </c>
    </row>
    <row r="487" spans="1:4" x14ac:dyDescent="0.45">
      <c r="A487" s="4" t="s">
        <v>162</v>
      </c>
      <c r="B487" s="4" t="s">
        <v>40</v>
      </c>
      <c r="C487" s="1">
        <v>46223.20416666667</v>
      </c>
      <c r="D487" t="str">
        <f t="shared" si="7"/>
        <v>Returning User</v>
      </c>
    </row>
    <row r="488" spans="1:4" x14ac:dyDescent="0.45">
      <c r="A488" s="4" t="s">
        <v>203</v>
      </c>
      <c r="B488" s="4" t="s">
        <v>7</v>
      </c>
      <c r="C488" s="1">
        <v>46223.161805555559</v>
      </c>
      <c r="D488" t="str">
        <f t="shared" si="7"/>
        <v>New User</v>
      </c>
    </row>
    <row r="489" spans="1:4" x14ac:dyDescent="0.45">
      <c r="A489" s="4" t="s">
        <v>168</v>
      </c>
      <c r="B489" s="4" t="s">
        <v>4</v>
      </c>
      <c r="C489" s="1">
        <v>46223.163194444445</v>
      </c>
      <c r="D489" t="str">
        <f t="shared" si="7"/>
        <v>Returning User</v>
      </c>
    </row>
    <row r="490" spans="1:4" x14ac:dyDescent="0.45">
      <c r="A490" s="4" t="s">
        <v>162</v>
      </c>
      <c r="B490" s="4" t="s">
        <v>4</v>
      </c>
      <c r="C490" s="1">
        <v>46223.170138888891</v>
      </c>
      <c r="D490" t="str">
        <f t="shared" si="7"/>
        <v>Returning User</v>
      </c>
    </row>
    <row r="491" spans="1:4" x14ac:dyDescent="0.45">
      <c r="A491" s="4" t="s">
        <v>178</v>
      </c>
      <c r="B491" s="4" t="s">
        <v>4</v>
      </c>
      <c r="C491" s="1">
        <v>46223.168749999997</v>
      </c>
      <c r="D491" t="str">
        <f t="shared" si="7"/>
        <v>Returning User</v>
      </c>
    </row>
    <row r="492" spans="1:4" x14ac:dyDescent="0.45">
      <c r="A492" s="4" t="s">
        <v>182</v>
      </c>
      <c r="B492" s="4" t="s">
        <v>13</v>
      </c>
      <c r="C492" s="1">
        <v>46223.193749999999</v>
      </c>
      <c r="D492" t="str">
        <f t="shared" si="7"/>
        <v>Returning User</v>
      </c>
    </row>
    <row r="493" spans="1:4" x14ac:dyDescent="0.45">
      <c r="A493" s="4" t="s">
        <v>64</v>
      </c>
      <c r="B493" s="4" t="s">
        <v>7</v>
      </c>
      <c r="C493" s="1">
        <v>46223.163888888892</v>
      </c>
      <c r="D493" t="str">
        <f t="shared" si="7"/>
        <v>New User</v>
      </c>
    </row>
    <row r="494" spans="1:4" x14ac:dyDescent="0.45">
      <c r="A494" s="4" t="s">
        <v>207</v>
      </c>
      <c r="B494" s="4" t="s">
        <v>27</v>
      </c>
      <c r="C494" s="1">
        <v>46223.19027777778</v>
      </c>
      <c r="D494" t="str">
        <f t="shared" si="7"/>
        <v>Returning User</v>
      </c>
    </row>
    <row r="495" spans="1:4" x14ac:dyDescent="0.45">
      <c r="A495" s="4" t="s">
        <v>66</v>
      </c>
      <c r="B495" s="4" t="s">
        <v>27</v>
      </c>
      <c r="C495" s="1">
        <v>46223.175694444442</v>
      </c>
      <c r="D495" t="str">
        <f t="shared" si="7"/>
        <v>Returning User</v>
      </c>
    </row>
    <row r="496" spans="1:4" x14ac:dyDescent="0.45">
      <c r="A496" s="4" t="s">
        <v>53</v>
      </c>
      <c r="B496" s="4" t="s">
        <v>27</v>
      </c>
      <c r="C496" s="1">
        <v>46223.188888888886</v>
      </c>
      <c r="D496" t="str">
        <f t="shared" si="7"/>
        <v>Returning User</v>
      </c>
    </row>
    <row r="497" spans="1:4" x14ac:dyDescent="0.45">
      <c r="A497" s="4" t="s">
        <v>105</v>
      </c>
      <c r="B497" s="4" t="s">
        <v>4</v>
      </c>
      <c r="C497" s="1">
        <v>46223.183333333334</v>
      </c>
      <c r="D497" t="str">
        <f t="shared" si="7"/>
        <v>Returning User</v>
      </c>
    </row>
    <row r="498" spans="1:4" x14ac:dyDescent="0.45">
      <c r="A498" s="4" t="s">
        <v>78</v>
      </c>
      <c r="B498" s="4" t="s">
        <v>7</v>
      </c>
      <c r="C498" s="1">
        <v>46223.170138888891</v>
      </c>
      <c r="D498" t="str">
        <f t="shared" si="7"/>
        <v>New User</v>
      </c>
    </row>
    <row r="499" spans="1:4" x14ac:dyDescent="0.45">
      <c r="A499" s="4" t="s">
        <v>186</v>
      </c>
      <c r="B499" s="4" t="s">
        <v>4</v>
      </c>
      <c r="C499" s="1">
        <v>46223.159722222219</v>
      </c>
      <c r="D499" t="str">
        <f t="shared" si="7"/>
        <v>Returning User</v>
      </c>
    </row>
    <row r="500" spans="1:4" x14ac:dyDescent="0.45">
      <c r="A500" s="4" t="s">
        <v>78</v>
      </c>
      <c r="B500" s="4" t="s">
        <v>27</v>
      </c>
      <c r="C500" s="1">
        <v>46223.172222222223</v>
      </c>
      <c r="D500" t="str">
        <f t="shared" si="7"/>
        <v>Returning User</v>
      </c>
    </row>
    <row r="501" spans="1:4" x14ac:dyDescent="0.45">
      <c r="A501" s="4" t="s">
        <v>200</v>
      </c>
      <c r="B501" s="4" t="s">
        <v>7</v>
      </c>
      <c r="C501" s="1">
        <v>46223.15902777778</v>
      </c>
      <c r="D501" t="str">
        <f t="shared" si="7"/>
        <v>New User</v>
      </c>
    </row>
    <row r="502" spans="1:4" x14ac:dyDescent="0.45">
      <c r="A502" s="4" t="s">
        <v>127</v>
      </c>
      <c r="B502" s="4" t="s">
        <v>13</v>
      </c>
      <c r="C502" s="1">
        <v>46223.181944444441</v>
      </c>
      <c r="D502" t="str">
        <f t="shared" si="7"/>
        <v>Returning User</v>
      </c>
    </row>
    <row r="503" spans="1:4" x14ac:dyDescent="0.45">
      <c r="A503" s="4" t="s">
        <v>157</v>
      </c>
      <c r="B503" s="4" t="s">
        <v>13</v>
      </c>
      <c r="C503" s="1">
        <v>46223.178472222222</v>
      </c>
      <c r="D503" t="str">
        <f t="shared" si="7"/>
        <v>Returning User</v>
      </c>
    </row>
    <row r="504" spans="1:4" x14ac:dyDescent="0.45">
      <c r="A504" s="4" t="s">
        <v>153</v>
      </c>
      <c r="B504" s="4" t="s">
        <v>13</v>
      </c>
      <c r="C504" s="1">
        <v>46223.181250000001</v>
      </c>
      <c r="D504" t="str">
        <f t="shared" si="7"/>
        <v>Returning User</v>
      </c>
    </row>
    <row r="505" spans="1:4" x14ac:dyDescent="0.45">
      <c r="A505" s="4" t="s">
        <v>143</v>
      </c>
      <c r="B505" s="4" t="s">
        <v>4</v>
      </c>
      <c r="C505" s="1">
        <v>46223.161805555559</v>
      </c>
      <c r="D505" t="str">
        <f t="shared" si="7"/>
        <v>Returning User</v>
      </c>
    </row>
    <row r="506" spans="1:4" x14ac:dyDescent="0.45">
      <c r="A506" s="4" t="s">
        <v>204</v>
      </c>
      <c r="B506" s="4" t="s">
        <v>7</v>
      </c>
      <c r="C506" s="1">
        <v>46223.164583333331</v>
      </c>
      <c r="D506" t="str">
        <f t="shared" si="7"/>
        <v>New User</v>
      </c>
    </row>
    <row r="507" spans="1:4" x14ac:dyDescent="0.45">
      <c r="A507" s="4" t="s">
        <v>159</v>
      </c>
      <c r="B507" s="4" t="s">
        <v>4</v>
      </c>
      <c r="C507" s="1">
        <v>46223.177777777775</v>
      </c>
      <c r="D507" t="str">
        <f t="shared" si="7"/>
        <v>Returning User</v>
      </c>
    </row>
    <row r="508" spans="1:4" x14ac:dyDescent="0.45">
      <c r="A508" s="4" t="s">
        <v>198</v>
      </c>
      <c r="B508" s="4" t="s">
        <v>7</v>
      </c>
      <c r="C508" s="1">
        <v>46223.168055555558</v>
      </c>
      <c r="D508" t="str">
        <f t="shared" si="7"/>
        <v>New User</v>
      </c>
    </row>
    <row r="509" spans="1:4" x14ac:dyDescent="0.45">
      <c r="A509" s="4" t="s">
        <v>192</v>
      </c>
      <c r="B509" s="4" t="s">
        <v>7</v>
      </c>
      <c r="C509" s="1">
        <v>46223.149305555555</v>
      </c>
      <c r="D509" t="str">
        <f t="shared" si="7"/>
        <v>New User</v>
      </c>
    </row>
    <row r="510" spans="1:4" x14ac:dyDescent="0.45">
      <c r="A510" s="4" t="s">
        <v>91</v>
      </c>
      <c r="B510" s="4" t="s">
        <v>40</v>
      </c>
      <c r="C510" s="1">
        <v>46223.195138888892</v>
      </c>
      <c r="D510" t="str">
        <f t="shared" si="7"/>
        <v>Returning User</v>
      </c>
    </row>
    <row r="511" spans="1:4" x14ac:dyDescent="0.45">
      <c r="A511" s="4" t="s">
        <v>160</v>
      </c>
      <c r="B511" s="4" t="s">
        <v>27</v>
      </c>
      <c r="C511" s="1">
        <v>46223.191666666666</v>
      </c>
      <c r="D511" t="str">
        <f t="shared" si="7"/>
        <v>Returning User</v>
      </c>
    </row>
    <row r="512" spans="1:4" x14ac:dyDescent="0.45">
      <c r="A512" s="4" t="s">
        <v>105</v>
      </c>
      <c r="B512" s="4" t="s">
        <v>7</v>
      </c>
      <c r="C512" s="1">
        <v>46223.157638888886</v>
      </c>
      <c r="D512" t="str">
        <f t="shared" si="7"/>
        <v>New User</v>
      </c>
    </row>
    <row r="513" spans="1:4" x14ac:dyDescent="0.45">
      <c r="A513" s="4" t="s">
        <v>8</v>
      </c>
      <c r="B513" s="4" t="s">
        <v>4</v>
      </c>
      <c r="C513" s="1">
        <v>46223.162499999999</v>
      </c>
      <c r="D513" t="str">
        <f t="shared" si="7"/>
        <v>Returning User</v>
      </c>
    </row>
    <row r="514" spans="1:4" x14ac:dyDescent="0.45">
      <c r="A514" s="4" t="s">
        <v>77</v>
      </c>
      <c r="B514" s="4" t="s">
        <v>7</v>
      </c>
      <c r="C514" s="1">
        <v>46223.167361111111</v>
      </c>
      <c r="D514" t="str">
        <f t="shared" ref="D514:D543" si="8">IF(B514="visited_site","New User",IF(AND(OR(B514="signup_started",B514="details_filled",B514="email_verified",B514="purchase_completed"),COUNTIFS($A:$A,A514,$B:$B,"visited_site")&gt;0),"Returning User","Unknown"))</f>
        <v>New User</v>
      </c>
    </row>
    <row r="515" spans="1:4" x14ac:dyDescent="0.45">
      <c r="A515" s="4" t="s">
        <v>168</v>
      </c>
      <c r="B515" s="4" t="s">
        <v>40</v>
      </c>
      <c r="C515" s="1">
        <v>46223.195138888892</v>
      </c>
      <c r="D515" t="str">
        <f t="shared" si="8"/>
        <v>Returning User</v>
      </c>
    </row>
    <row r="516" spans="1:4" x14ac:dyDescent="0.45">
      <c r="A516" s="4" t="s">
        <v>135</v>
      </c>
      <c r="B516" s="4" t="s">
        <v>7</v>
      </c>
      <c r="C516" s="1">
        <v>46223.164583333331</v>
      </c>
      <c r="D516" t="str">
        <f t="shared" si="8"/>
        <v>New User</v>
      </c>
    </row>
    <row r="517" spans="1:4" x14ac:dyDescent="0.45">
      <c r="A517" s="4" t="s">
        <v>5</v>
      </c>
      <c r="B517" s="4" t="s">
        <v>27</v>
      </c>
      <c r="C517" s="1">
        <v>46223.190972222219</v>
      </c>
      <c r="D517" t="str">
        <f t="shared" si="8"/>
        <v>Returning User</v>
      </c>
    </row>
    <row r="518" spans="1:4" x14ac:dyDescent="0.45">
      <c r="A518" s="4" t="s">
        <v>203</v>
      </c>
      <c r="B518" s="4" t="s">
        <v>40</v>
      </c>
      <c r="C518" s="1">
        <v>46223.204861111109</v>
      </c>
      <c r="D518" t="str">
        <f t="shared" si="8"/>
        <v>Returning User</v>
      </c>
    </row>
    <row r="519" spans="1:4" x14ac:dyDescent="0.45">
      <c r="A519" s="4" t="s">
        <v>117</v>
      </c>
      <c r="B519" s="4" t="s">
        <v>7</v>
      </c>
      <c r="C519" s="1">
        <v>46223.161805555559</v>
      </c>
      <c r="D519" t="str">
        <f t="shared" si="8"/>
        <v>New User</v>
      </c>
    </row>
    <row r="520" spans="1:4" x14ac:dyDescent="0.45">
      <c r="A520" s="4" t="s">
        <v>126</v>
      </c>
      <c r="B520" s="4" t="s">
        <v>7</v>
      </c>
      <c r="C520" s="1">
        <v>46223.17083333333</v>
      </c>
      <c r="D520" t="str">
        <f t="shared" si="8"/>
        <v>New User</v>
      </c>
    </row>
    <row r="521" spans="1:4" x14ac:dyDescent="0.45">
      <c r="A521" s="4" t="s">
        <v>196</v>
      </c>
      <c r="B521" s="4" t="s">
        <v>27</v>
      </c>
      <c r="C521" s="1">
        <v>46223.185416666667</v>
      </c>
      <c r="D521" t="str">
        <f t="shared" si="8"/>
        <v>Returning User</v>
      </c>
    </row>
    <row r="522" spans="1:4" x14ac:dyDescent="0.45">
      <c r="A522" s="4" t="s">
        <v>175</v>
      </c>
      <c r="B522" s="4" t="s">
        <v>40</v>
      </c>
      <c r="C522" s="1">
        <v>46223.20416666667</v>
      </c>
      <c r="D522" t="str">
        <f t="shared" si="8"/>
        <v>Returning User</v>
      </c>
    </row>
    <row r="523" spans="1:4" x14ac:dyDescent="0.45">
      <c r="A523" s="4" t="s">
        <v>49</v>
      </c>
      <c r="B523" s="4" t="s">
        <v>27</v>
      </c>
      <c r="C523" s="1">
        <v>46223.193055555559</v>
      </c>
      <c r="D523" t="str">
        <f t="shared" si="8"/>
        <v>Returning User</v>
      </c>
    </row>
    <row r="524" spans="1:4" x14ac:dyDescent="0.45">
      <c r="A524" s="4" t="s">
        <v>43</v>
      </c>
      <c r="B524" s="4" t="s">
        <v>40</v>
      </c>
      <c r="C524" s="1">
        <v>46223.188194444447</v>
      </c>
      <c r="D524" t="str">
        <f t="shared" si="8"/>
        <v>Returning User</v>
      </c>
    </row>
    <row r="525" spans="1:4" x14ac:dyDescent="0.45">
      <c r="A525" s="4" t="s">
        <v>87</v>
      </c>
      <c r="B525" s="4" t="s">
        <v>4</v>
      </c>
      <c r="C525" s="1">
        <v>46223.165972222225</v>
      </c>
      <c r="D525" t="str">
        <f t="shared" si="8"/>
        <v>Returning User</v>
      </c>
    </row>
    <row r="526" spans="1:4" x14ac:dyDescent="0.45">
      <c r="A526" s="4" t="s">
        <v>189</v>
      </c>
      <c r="B526" s="4" t="s">
        <v>27</v>
      </c>
      <c r="C526" s="1">
        <v>46223.189583333333</v>
      </c>
      <c r="D526" t="str">
        <f t="shared" si="8"/>
        <v>Returning User</v>
      </c>
    </row>
    <row r="527" spans="1:4" x14ac:dyDescent="0.45">
      <c r="A527" s="4" t="s">
        <v>184</v>
      </c>
      <c r="B527" s="4" t="s">
        <v>27</v>
      </c>
      <c r="C527" s="1">
        <v>46223.17291666667</v>
      </c>
      <c r="D527" t="str">
        <f t="shared" si="8"/>
        <v>Returning User</v>
      </c>
    </row>
    <row r="528" spans="1:4" x14ac:dyDescent="0.45">
      <c r="A528" s="4" t="s">
        <v>103</v>
      </c>
      <c r="B528" s="4" t="s">
        <v>27</v>
      </c>
      <c r="C528" s="1">
        <v>46223.172222222223</v>
      </c>
      <c r="D528" t="str">
        <f t="shared" si="8"/>
        <v>Returning User</v>
      </c>
    </row>
    <row r="529" spans="1:4" x14ac:dyDescent="0.45">
      <c r="A529" s="4" t="s">
        <v>8</v>
      </c>
      <c r="B529" s="4" t="s">
        <v>40</v>
      </c>
      <c r="C529" s="1">
        <v>46223.195138888892</v>
      </c>
      <c r="D529" t="str">
        <f t="shared" si="8"/>
        <v>Returning User</v>
      </c>
    </row>
    <row r="530" spans="1:4" x14ac:dyDescent="0.45">
      <c r="A530" s="4" t="s">
        <v>164</v>
      </c>
      <c r="B530" s="4" t="s">
        <v>40</v>
      </c>
      <c r="C530" s="1">
        <v>46223.203472222223</v>
      </c>
      <c r="D530" t="str">
        <f t="shared" si="8"/>
        <v>Returning User</v>
      </c>
    </row>
    <row r="531" spans="1:4" x14ac:dyDescent="0.45">
      <c r="A531" s="4" t="s">
        <v>190</v>
      </c>
      <c r="B531" s="4" t="s">
        <v>27</v>
      </c>
      <c r="C531" s="1">
        <v>46223.193749999999</v>
      </c>
      <c r="D531" t="str">
        <f t="shared" si="8"/>
        <v>Returning User</v>
      </c>
    </row>
    <row r="532" spans="1:4" x14ac:dyDescent="0.45">
      <c r="A532" s="4" t="s">
        <v>187</v>
      </c>
      <c r="B532" s="4" t="s">
        <v>27</v>
      </c>
      <c r="C532" s="1">
        <v>46223.174305555556</v>
      </c>
      <c r="D532" t="str">
        <f t="shared" si="8"/>
        <v>Returning User</v>
      </c>
    </row>
    <row r="533" spans="1:4" x14ac:dyDescent="0.45">
      <c r="A533" s="4" t="s">
        <v>128</v>
      </c>
      <c r="B533" s="4" t="s">
        <v>27</v>
      </c>
      <c r="C533" s="1">
        <v>46223.193055555559</v>
      </c>
      <c r="D533" t="str">
        <f t="shared" si="8"/>
        <v>Returning User</v>
      </c>
    </row>
    <row r="534" spans="1:4" x14ac:dyDescent="0.45">
      <c r="A534" s="4" t="s">
        <v>197</v>
      </c>
      <c r="B534" s="4" t="s">
        <v>40</v>
      </c>
      <c r="C534" s="1">
        <v>46223.195138888892</v>
      </c>
      <c r="D534" t="str">
        <f t="shared" si="8"/>
        <v>Returning User</v>
      </c>
    </row>
    <row r="535" spans="1:4" x14ac:dyDescent="0.45">
      <c r="A535" s="4" t="s">
        <v>14</v>
      </c>
      <c r="B535" s="4" t="s">
        <v>27</v>
      </c>
      <c r="C535" s="1">
        <v>46223.182638888888</v>
      </c>
      <c r="D535" t="str">
        <f t="shared" si="8"/>
        <v>Returning User</v>
      </c>
    </row>
    <row r="536" spans="1:4" x14ac:dyDescent="0.45">
      <c r="A536" s="4" t="s">
        <v>205</v>
      </c>
      <c r="B536" s="4" t="s">
        <v>27</v>
      </c>
      <c r="C536" s="1">
        <v>46223.186111111114</v>
      </c>
      <c r="D536" t="str">
        <f t="shared" si="8"/>
        <v>Returning User</v>
      </c>
    </row>
    <row r="537" spans="1:4" x14ac:dyDescent="0.45">
      <c r="A537" s="4" t="s">
        <v>25</v>
      </c>
      <c r="B537" s="4" t="s">
        <v>27</v>
      </c>
      <c r="C537" s="1">
        <v>46223.171527777777</v>
      </c>
      <c r="D537" t="str">
        <f t="shared" si="8"/>
        <v>Returning User</v>
      </c>
    </row>
    <row r="538" spans="1:4" x14ac:dyDescent="0.45">
      <c r="A538" s="4" t="s">
        <v>130</v>
      </c>
      <c r="B538" s="4" t="s">
        <v>40</v>
      </c>
      <c r="C538" s="1">
        <v>46223.194444444445</v>
      </c>
      <c r="D538" t="str">
        <f t="shared" si="8"/>
        <v>Returning User</v>
      </c>
    </row>
    <row r="539" spans="1:4" x14ac:dyDescent="0.45">
      <c r="A539" s="4" t="s">
        <v>194</v>
      </c>
      <c r="B539" s="4" t="s">
        <v>27</v>
      </c>
      <c r="C539" s="1">
        <v>46223.185416666667</v>
      </c>
      <c r="D539" t="str">
        <f t="shared" si="8"/>
        <v>Returning User</v>
      </c>
    </row>
    <row r="540" spans="1:4" x14ac:dyDescent="0.45">
      <c r="A540" s="4" t="s">
        <v>195</v>
      </c>
      <c r="B540" s="4" t="s">
        <v>40</v>
      </c>
      <c r="C540" s="1">
        <v>46223.188194444447</v>
      </c>
      <c r="D540" t="str">
        <f t="shared" si="8"/>
        <v>Returning User</v>
      </c>
    </row>
    <row r="541" spans="1:4" x14ac:dyDescent="0.45">
      <c r="A541" s="4" t="s">
        <v>173</v>
      </c>
      <c r="B541" s="4" t="s">
        <v>40</v>
      </c>
      <c r="C541" s="1">
        <v>46223.192361111112</v>
      </c>
      <c r="D541" t="str">
        <f t="shared" si="8"/>
        <v>Returning User</v>
      </c>
    </row>
    <row r="542" spans="1:4" x14ac:dyDescent="0.45">
      <c r="A542" s="4" t="s">
        <v>75</v>
      </c>
      <c r="B542" s="4" t="s">
        <v>13</v>
      </c>
      <c r="C542" s="1">
        <v>46223.19027777778</v>
      </c>
      <c r="D542" t="str">
        <f t="shared" si="8"/>
        <v>Returning User</v>
      </c>
    </row>
    <row r="543" spans="1:4" x14ac:dyDescent="0.45">
      <c r="A543" s="4" t="s">
        <v>146</v>
      </c>
      <c r="B543" s="4" t="s">
        <v>7</v>
      </c>
      <c r="C543" s="1">
        <v>46223.146527777775</v>
      </c>
      <c r="D543" t="str">
        <f t="shared" si="8"/>
        <v>New User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B5CB-36B9-44CD-AE0C-7B1B90AAB5CB}">
  <dimension ref="A3:O21"/>
  <sheetViews>
    <sheetView workbookViewId="0">
      <selection activeCell="D4" sqref="D4"/>
    </sheetView>
  </sheetViews>
  <sheetFormatPr defaultRowHeight="14.25" x14ac:dyDescent="0.45"/>
  <cols>
    <col min="1" max="1" width="37.3984375" customWidth="1"/>
    <col min="2" max="2" width="16.3984375" bestFit="1" customWidth="1"/>
    <col min="3" max="3" width="12.06640625" bestFit="1" customWidth="1"/>
    <col min="4" max="4" width="23.53125" bestFit="1" customWidth="1"/>
    <col min="5" max="5" width="14.73046875" bestFit="1" customWidth="1"/>
    <col min="6" max="6" width="12.06640625" bestFit="1" customWidth="1"/>
    <col min="7" max="7" width="17.6640625" bestFit="1" customWidth="1"/>
    <col min="8" max="8" width="12.3984375" bestFit="1" customWidth="1"/>
    <col min="9" max="9" width="13.6640625" bestFit="1" customWidth="1"/>
    <col min="10" max="10" width="14.73046875" bestFit="1" customWidth="1"/>
    <col min="11" max="11" width="12.06640625" bestFit="1" customWidth="1"/>
    <col min="12" max="12" width="17.6640625" bestFit="1" customWidth="1"/>
    <col min="13" max="13" width="12.3984375" bestFit="1" customWidth="1"/>
    <col min="14" max="14" width="9.73046875" bestFit="1" customWidth="1"/>
    <col min="15" max="15" width="9.86328125" bestFit="1" customWidth="1"/>
  </cols>
  <sheetData>
    <row r="3" spans="1:15" ht="13.15" customHeight="1" x14ac:dyDescent="0.45">
      <c r="A3" s="2" t="s">
        <v>214</v>
      </c>
      <c r="B3" t="s">
        <v>209</v>
      </c>
      <c r="D3" s="8" t="s">
        <v>210</v>
      </c>
      <c r="E3" s="8" t="s">
        <v>211</v>
      </c>
      <c r="F3" s="8" t="s">
        <v>212</v>
      </c>
      <c r="G3" s="8" t="s">
        <v>213</v>
      </c>
      <c r="I3" s="2" t="s">
        <v>224</v>
      </c>
      <c r="J3" s="2" t="s">
        <v>225</v>
      </c>
    </row>
    <row r="4" spans="1:15" ht="16.899999999999999" customHeight="1" x14ac:dyDescent="0.45">
      <c r="A4" s="3" t="s">
        <v>7</v>
      </c>
      <c r="B4">
        <v>200</v>
      </c>
      <c r="D4" s="7" t="s">
        <v>7</v>
      </c>
      <c r="E4" s="5">
        <f>VLOOKUP(D4,$A$4:$B$8,2,FALSE)</f>
        <v>200</v>
      </c>
      <c r="F4" s="6">
        <v>1</v>
      </c>
      <c r="G4" s="6">
        <f>100%-F4</f>
        <v>0</v>
      </c>
      <c r="I4" s="2" t="s">
        <v>221</v>
      </c>
      <c r="J4" t="s">
        <v>27</v>
      </c>
      <c r="K4" t="s">
        <v>13</v>
      </c>
      <c r="L4" t="s">
        <v>40</v>
      </c>
      <c r="M4" t="s">
        <v>4</v>
      </c>
      <c r="N4" t="s">
        <v>7</v>
      </c>
      <c r="O4" t="s">
        <v>208</v>
      </c>
    </row>
    <row r="5" spans="1:15" x14ac:dyDescent="0.45">
      <c r="A5" s="3" t="s">
        <v>4</v>
      </c>
      <c r="B5">
        <v>150</v>
      </c>
      <c r="D5" s="7" t="s">
        <v>4</v>
      </c>
      <c r="E5" s="5">
        <f>VLOOKUP(D5,$A$4:$B$8,2,FALSE)</f>
        <v>150</v>
      </c>
      <c r="F5" s="6">
        <f>E5/E4</f>
        <v>0.75</v>
      </c>
      <c r="G5" s="6">
        <f>1-F5</f>
        <v>0.25</v>
      </c>
      <c r="I5" s="3" t="s">
        <v>222</v>
      </c>
      <c r="J5" s="9">
        <v>46</v>
      </c>
      <c r="K5" s="9">
        <v>52</v>
      </c>
      <c r="L5" s="9">
        <v>2</v>
      </c>
      <c r="M5" s="9">
        <v>100</v>
      </c>
      <c r="N5" s="9">
        <v>100</v>
      </c>
      <c r="O5" s="9">
        <v>300</v>
      </c>
    </row>
    <row r="6" spans="1:15" x14ac:dyDescent="0.45">
      <c r="A6" s="3" t="s">
        <v>40</v>
      </c>
      <c r="B6">
        <v>44</v>
      </c>
      <c r="D6" s="7" t="s">
        <v>27</v>
      </c>
      <c r="E6" s="5">
        <f>VLOOKUP(D6,$A$4:$B$8,2,FALSE)</f>
        <v>96</v>
      </c>
      <c r="F6" s="6">
        <f>E6/E5</f>
        <v>0.64</v>
      </c>
      <c r="G6" s="6">
        <f t="shared" ref="G6:G8" si="0">1-F6</f>
        <v>0.36</v>
      </c>
      <c r="I6" s="3" t="s">
        <v>223</v>
      </c>
      <c r="J6" s="9">
        <v>50</v>
      </c>
      <c r="K6" s="9"/>
      <c r="L6" s="9">
        <v>42</v>
      </c>
      <c r="M6" s="9">
        <v>50</v>
      </c>
      <c r="N6" s="9">
        <v>100</v>
      </c>
      <c r="O6" s="9">
        <v>242</v>
      </c>
    </row>
    <row r="7" spans="1:15" x14ac:dyDescent="0.45">
      <c r="A7" s="3" t="s">
        <v>13</v>
      </c>
      <c r="B7">
        <v>52</v>
      </c>
      <c r="D7" s="7" t="s">
        <v>13</v>
      </c>
      <c r="E7" s="5">
        <f>VLOOKUP(D7,$A$4:$B$8,2,FALSE)</f>
        <v>52</v>
      </c>
      <c r="F7" s="6">
        <f>E7/E6</f>
        <v>0.54166666666666663</v>
      </c>
      <c r="G7" s="6">
        <f t="shared" si="0"/>
        <v>0.45833333333333337</v>
      </c>
      <c r="I7" s="3" t="s">
        <v>208</v>
      </c>
      <c r="J7" s="9">
        <v>96</v>
      </c>
      <c r="K7" s="9">
        <v>52</v>
      </c>
      <c r="L7" s="9">
        <v>44</v>
      </c>
      <c r="M7" s="9">
        <v>150</v>
      </c>
      <c r="N7" s="9">
        <v>200</v>
      </c>
      <c r="O7" s="9">
        <v>542</v>
      </c>
    </row>
    <row r="8" spans="1:15" x14ac:dyDescent="0.45">
      <c r="A8" s="3" t="s">
        <v>27</v>
      </c>
      <c r="B8">
        <v>96</v>
      </c>
      <c r="D8" s="7" t="s">
        <v>40</v>
      </c>
      <c r="E8" s="5">
        <f>VLOOKUP(D8,$A$4:$B$8,2,FALSE)</f>
        <v>44</v>
      </c>
      <c r="F8" s="6">
        <f>E8/E7</f>
        <v>0.84615384615384615</v>
      </c>
      <c r="G8" s="6">
        <f t="shared" si="0"/>
        <v>0.15384615384615385</v>
      </c>
    </row>
    <row r="9" spans="1:15" x14ac:dyDescent="0.45">
      <c r="A9" s="3" t="s">
        <v>208</v>
      </c>
      <c r="B9">
        <v>542</v>
      </c>
    </row>
    <row r="11" spans="1:15" x14ac:dyDescent="0.45">
      <c r="I11" s="18" t="s">
        <v>220</v>
      </c>
      <c r="J11" s="18" t="s">
        <v>234</v>
      </c>
      <c r="K11" s="18" t="s">
        <v>235</v>
      </c>
      <c r="L11" s="18" t="s">
        <v>236</v>
      </c>
    </row>
    <row r="12" spans="1:15" x14ac:dyDescent="0.45">
      <c r="I12" s="19" t="s">
        <v>222</v>
      </c>
      <c r="J12" s="19">
        <f>GETPIVOTDATA("[Measures].[Count of user_id]",$I$3,"[Table2].[step]","[Table2].[step].&amp;[visited_site]","[Table2].[Segment]","[Table2].[Segment].&amp;[New User]")</f>
        <v>100</v>
      </c>
      <c r="K12" s="19">
        <f>GETPIVOTDATA("[Measures].[Count of user_id]",$I$3,"[Table2].[step]","[Table2].[step].&amp;[purchase_completed]","[Table2].[Segment]","[Table2].[Segment].&amp;[New User]")</f>
        <v>2</v>
      </c>
      <c r="L12" s="20">
        <f>K12/J12</f>
        <v>0.02</v>
      </c>
    </row>
    <row r="13" spans="1:15" x14ac:dyDescent="0.45">
      <c r="I13" s="19" t="s">
        <v>223</v>
      </c>
      <c r="J13" s="19">
        <f>GETPIVOTDATA("[Measures].[Count of user_id]",$I$3,"[Table2].[step]","[Table2].[step].&amp;[visited_site]","[Table2].[Segment]","[Table2].[Segment].&amp;[Returning User]")</f>
        <v>100</v>
      </c>
      <c r="K13" s="19">
        <f>GETPIVOTDATA("[Measures].[Count of user_id]",$I$3,"[Table2].[step]","[Table2].[step].&amp;[purchase_completed]","[Table2].[Segment]","[Table2].[Segment].&amp;[Returning User]")</f>
        <v>42</v>
      </c>
      <c r="L13" s="20">
        <f>K13/J13</f>
        <v>0.42</v>
      </c>
    </row>
    <row r="15" spans="1:15" ht="17.649999999999999" x14ac:dyDescent="0.45">
      <c r="A15" s="11"/>
    </row>
    <row r="17" spans="1:2" x14ac:dyDescent="0.45">
      <c r="A17" s="12"/>
      <c r="B17" s="12"/>
    </row>
    <row r="18" spans="1:2" x14ac:dyDescent="0.45">
      <c r="A18" s="13"/>
      <c r="B18" s="14"/>
    </row>
    <row r="19" spans="1:2" x14ac:dyDescent="0.45">
      <c r="A19" s="13"/>
      <c r="B19" s="14"/>
    </row>
    <row r="20" spans="1:2" x14ac:dyDescent="0.45">
      <c r="A20" s="13"/>
      <c r="B20" s="14"/>
    </row>
    <row r="21" spans="1:2" x14ac:dyDescent="0.45">
      <c r="A21" s="13"/>
      <c r="B21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E964-1602-46FC-B5A8-86A9C487D7C6}">
  <dimension ref="A1:P49"/>
  <sheetViews>
    <sheetView zoomScale="70" zoomScaleNormal="70" workbookViewId="0">
      <selection activeCell="Y35" sqref="Y35"/>
    </sheetView>
  </sheetViews>
  <sheetFormatPr defaultRowHeight="14.25" x14ac:dyDescent="0.45"/>
  <cols>
    <col min="2" max="2" width="9.19921875" customWidth="1"/>
    <col min="5" max="5" width="9.46484375" customWidth="1"/>
    <col min="8" max="8" width="9.265625" customWidth="1"/>
    <col min="10" max="10" width="13.59765625" customWidth="1"/>
    <col min="11" max="11" width="9.1328125" customWidth="1"/>
    <col min="12" max="13" width="9.06640625" customWidth="1"/>
    <col min="14" max="14" width="16.796875" customWidth="1"/>
    <col min="15" max="15" width="21.796875" customWidth="1"/>
  </cols>
  <sheetData>
    <row r="1" spans="1:16" ht="36" x14ac:dyDescent="1.05">
      <c r="A1" s="17" t="s">
        <v>215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0"/>
    </row>
    <row r="2" spans="1:16" x14ac:dyDescent="0.4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6" ht="29.25" x14ac:dyDescent="0.9">
      <c r="A3" s="15"/>
      <c r="B3" s="15"/>
      <c r="C3" s="21">
        <f>GETPIVOTDATA("timestamp",'Pivot Tables'!$A$3,"step","visited_site")</f>
        <v>200</v>
      </c>
      <c r="D3" s="21"/>
      <c r="E3" s="15"/>
      <c r="F3" s="21">
        <f>GETPIVOTDATA("timestamp",'Pivot Tables'!$A$3,"step","purchase_completed")</f>
        <v>44</v>
      </c>
      <c r="G3" s="21"/>
      <c r="H3" s="15"/>
      <c r="I3" s="22">
        <f>'Pivot Tables'!E8/'Pivot Tables'!E4</f>
        <v>0.22</v>
      </c>
      <c r="J3" s="21"/>
      <c r="K3" s="15"/>
      <c r="L3" s="22">
        <f>MAX('Pivot Tables'!G4:G8)</f>
        <v>0.45833333333333337</v>
      </c>
      <c r="M3" s="21"/>
      <c r="N3" s="15"/>
      <c r="O3" s="15"/>
    </row>
    <row r="4" spans="1:16" ht="18" x14ac:dyDescent="0.55000000000000004">
      <c r="A4" s="15"/>
      <c r="B4" s="15"/>
      <c r="C4" s="16" t="s">
        <v>216</v>
      </c>
      <c r="D4" s="16"/>
      <c r="E4" s="15"/>
      <c r="F4" s="16" t="s">
        <v>217</v>
      </c>
      <c r="G4" s="16"/>
      <c r="H4" s="15"/>
      <c r="I4" s="16" t="s">
        <v>218</v>
      </c>
      <c r="J4" s="16"/>
      <c r="K4" s="15"/>
      <c r="L4" s="16" t="s">
        <v>219</v>
      </c>
      <c r="M4" s="16"/>
      <c r="N4" s="15"/>
      <c r="O4" s="15"/>
    </row>
    <row r="5" spans="1:16" x14ac:dyDescent="0.4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6" x14ac:dyDescent="0.4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6" x14ac:dyDescent="0.4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6" x14ac:dyDescent="0.4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6" x14ac:dyDescent="0.4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6" x14ac:dyDescent="0.4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6" x14ac:dyDescent="0.4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6" x14ac:dyDescent="0.4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6" x14ac:dyDescent="0.4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6" x14ac:dyDescent="0.4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6" x14ac:dyDescent="0.4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6" x14ac:dyDescent="0.4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x14ac:dyDescent="0.4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4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4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4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4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4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x14ac:dyDescent="0.4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4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4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4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x14ac:dyDescent="0.4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4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4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4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4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4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x14ac:dyDescent="0.4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4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x14ac:dyDescent="0.4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x14ac:dyDescent="0.4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x14ac:dyDescent="0.4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x14ac:dyDescent="0.4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x14ac:dyDescent="0.4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x14ac:dyDescent="0.4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x14ac:dyDescent="0.4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x14ac:dyDescent="0.4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x14ac:dyDescent="0.4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x14ac:dyDescent="0.4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26.65" x14ac:dyDescent="0.85">
      <c r="A45" s="23" t="s">
        <v>237</v>
      </c>
      <c r="B45" s="23"/>
      <c r="C45" s="23"/>
      <c r="D45" s="23"/>
      <c r="E45" s="23"/>
      <c r="F45" s="23"/>
      <c r="G45" s="23"/>
      <c r="H45" s="23"/>
      <c r="I45" s="23"/>
      <c r="J45" s="24"/>
      <c r="K45" s="31"/>
      <c r="L45" s="23" t="s">
        <v>226</v>
      </c>
      <c r="M45" s="23"/>
      <c r="N45" s="23"/>
      <c r="O45" s="23"/>
    </row>
    <row r="46" spans="1:15" ht="18" x14ac:dyDescent="0.55000000000000004">
      <c r="A46" s="25" t="s">
        <v>238</v>
      </c>
      <c r="B46" s="25"/>
      <c r="C46" s="25"/>
      <c r="D46" s="25"/>
      <c r="E46" s="25"/>
      <c r="F46" s="25"/>
      <c r="G46" s="25"/>
      <c r="H46" s="25"/>
      <c r="I46" s="25"/>
      <c r="J46" s="27"/>
      <c r="K46" s="26"/>
      <c r="L46" s="32" t="s">
        <v>227</v>
      </c>
      <c r="M46" s="32"/>
      <c r="N46" s="25" t="s">
        <v>228</v>
      </c>
      <c r="O46" s="25"/>
    </row>
    <row r="47" spans="1:15" ht="18" x14ac:dyDescent="0.55000000000000004">
      <c r="A47" s="28" t="s">
        <v>239</v>
      </c>
      <c r="B47" s="28"/>
      <c r="C47" s="28"/>
      <c r="D47" s="28"/>
      <c r="E47" s="28"/>
      <c r="F47" s="28"/>
      <c r="G47" s="28"/>
      <c r="H47" s="28"/>
      <c r="I47" s="28"/>
      <c r="J47" s="29"/>
      <c r="K47" s="30"/>
      <c r="L47" s="33" t="s">
        <v>229</v>
      </c>
      <c r="M47" s="33"/>
      <c r="N47" s="28" t="s">
        <v>230</v>
      </c>
      <c r="O47" s="28"/>
    </row>
    <row r="48" spans="1:15" ht="34.5" customHeight="1" x14ac:dyDescent="0.55000000000000004">
      <c r="A48" s="25" t="s">
        <v>240</v>
      </c>
      <c r="B48" s="25"/>
      <c r="C48" s="25"/>
      <c r="D48" s="25"/>
      <c r="E48" s="25"/>
      <c r="F48" s="25"/>
      <c r="G48" s="25"/>
      <c r="H48" s="25"/>
      <c r="I48" s="25"/>
      <c r="J48" s="27"/>
      <c r="K48" s="26"/>
      <c r="L48" s="32" t="s">
        <v>231</v>
      </c>
      <c r="M48" s="32"/>
      <c r="N48" s="25" t="s">
        <v>242</v>
      </c>
      <c r="O48" s="25"/>
    </row>
    <row r="49" spans="1:15" ht="18" x14ac:dyDescent="0.55000000000000004">
      <c r="A49" s="28" t="s">
        <v>241</v>
      </c>
      <c r="B49" s="28"/>
      <c r="C49" s="28"/>
      <c r="D49" s="28"/>
      <c r="E49" s="28"/>
      <c r="F49" s="28"/>
      <c r="G49" s="28"/>
      <c r="H49" s="28"/>
      <c r="I49" s="28"/>
      <c r="J49" s="29"/>
      <c r="K49" s="30"/>
      <c r="L49" s="33" t="s">
        <v>232</v>
      </c>
      <c r="M49" s="33"/>
      <c r="N49" s="28" t="s">
        <v>233</v>
      </c>
      <c r="O49" s="28"/>
    </row>
  </sheetData>
  <mergeCells count="23">
    <mergeCell ref="A49:J49"/>
    <mergeCell ref="N49:O49"/>
    <mergeCell ref="L46:M46"/>
    <mergeCell ref="L47:M47"/>
    <mergeCell ref="L48:M48"/>
    <mergeCell ref="L49:M49"/>
    <mergeCell ref="L45:O45"/>
    <mergeCell ref="N46:O46"/>
    <mergeCell ref="N47:O47"/>
    <mergeCell ref="N48:O48"/>
    <mergeCell ref="A45:J45"/>
    <mergeCell ref="A46:J46"/>
    <mergeCell ref="A47:J47"/>
    <mergeCell ref="A48:J48"/>
    <mergeCell ref="A1:O1"/>
    <mergeCell ref="C3:D3"/>
    <mergeCell ref="C4:D4"/>
    <mergeCell ref="F3:G3"/>
    <mergeCell ref="F4:G4"/>
    <mergeCell ref="I3:J3"/>
    <mergeCell ref="I4:J4"/>
    <mergeCell ref="L3:M3"/>
    <mergeCell ref="L4:M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funnel_events_sample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Kesarapu Teja</dc:creator>
  <cp:lastModifiedBy>t30557</cp:lastModifiedBy>
  <dcterms:created xsi:type="dcterms:W3CDTF">2026-08-04T08:15:35Z</dcterms:created>
  <dcterms:modified xsi:type="dcterms:W3CDTF">2026-08-04T13:07:42Z</dcterms:modified>
</cp:coreProperties>
</file>